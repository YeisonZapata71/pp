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ueb\OneDrive\Documentos\GIRA\2026\PARTICIPACION\pp\"/>
    </mc:Choice>
  </mc:AlternateContent>
  <xr:revisionPtr revIDLastSave="0" documentId="13_ncr:1_{2D7AB183-C11B-412B-B028-EA0BAB0B81F8}" xr6:coauthVersionLast="47" xr6:coauthVersionMax="47" xr10:uidLastSave="{00000000-0000-0000-0000-000000000000}"/>
  <bookViews>
    <workbookView xWindow="-110" yWindow="-110" windowWidth="19420" windowHeight="11500" xr2:uid="{6C8ED67E-9047-42B1-8BDB-DD58B52646C4}"/>
  </bookViews>
  <sheets>
    <sheet name="2024" sheetId="1" r:id="rId1"/>
    <sheet name="2025" sheetId="2" r:id="rId2"/>
    <sheet name="2026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" l="1"/>
  <c r="P19" i="4"/>
</calcChain>
</file>

<file path=xl/sharedStrings.xml><?xml version="1.0" encoding="utf-8"?>
<sst xmlns="http://schemas.openxmlformats.org/spreadsheetml/2006/main" count="664" uniqueCount="249">
  <si>
    <t>Barrio o vereda</t>
  </si>
  <si>
    <t>Categoría</t>
  </si>
  <si>
    <t>Proyecto</t>
  </si>
  <si>
    <t>Tipo de proyecto</t>
  </si>
  <si>
    <t>Años proyecto 2024</t>
  </si>
  <si>
    <t>Estado proyecto 2024</t>
  </si>
  <si>
    <t>Estado estatutos</t>
  </si>
  <si>
    <t>Presupuesto 2024</t>
  </si>
  <si>
    <t>Fecha de inicio</t>
  </si>
  <si>
    <t>Primer pago</t>
  </si>
  <si>
    <t>Segundo pago</t>
  </si>
  <si>
    <t>Tercer pago</t>
  </si>
  <si>
    <t>Total desembolsado</t>
  </si>
  <si>
    <t>Visitas Tecnicas</t>
  </si>
  <si>
    <t>Proyecto Elaborado</t>
  </si>
  <si>
    <t>Presupuesto 2025</t>
  </si>
  <si>
    <t>N4</t>
  </si>
  <si>
    <t>N/A</t>
  </si>
  <si>
    <t>SI</t>
  </si>
  <si>
    <t>ACTUALIZADOS</t>
  </si>
  <si>
    <t>N2</t>
  </si>
  <si>
    <t>El Cano</t>
  </si>
  <si>
    <t>N1</t>
  </si>
  <si>
    <t>Vías terciarias (rieles y señalización)</t>
  </si>
  <si>
    <t>Intervención Vía</t>
  </si>
  <si>
    <t>EJECUTADO</t>
  </si>
  <si>
    <t>ok</t>
  </si>
  <si>
    <t>EN EJECUCIÓN</t>
  </si>
  <si>
    <t>Girardota La Nueva</t>
  </si>
  <si>
    <t>Construcción de un parquecito en el sector 18 B, mantenimiento del parquecito principal y construcción de Gimnasio al aire libre.</t>
  </si>
  <si>
    <t>Juan Cojo</t>
  </si>
  <si>
    <t>Mejoramiento de vías terciarias</t>
  </si>
  <si>
    <t>La Florida</t>
  </si>
  <si>
    <t>Embellecimiento y mantenimiento del barrio</t>
  </si>
  <si>
    <t>La Matica Parte Baja</t>
  </si>
  <si>
    <t>Muros de contención prioritarios frente de la casa de Cecilia Meneses, muro de tras de Nancy alvarez , predio de  Julio Porras y muro de agua de Lucía. </t>
  </si>
  <si>
    <t>La Palma</t>
  </si>
  <si>
    <t>Arreglo de la vía principal</t>
  </si>
  <si>
    <t>CONTRATO</t>
  </si>
  <si>
    <t>PROFESIONAL</t>
  </si>
  <si>
    <t>PAGOS</t>
  </si>
  <si>
    <t>SEPTIEMBRE</t>
  </si>
  <si>
    <t>OCTUBRE</t>
  </si>
  <si>
    <t>NOVIEMBRE</t>
  </si>
  <si>
    <t>DICIEMBRE</t>
  </si>
  <si>
    <t>TOTAL</t>
  </si>
  <si>
    <t>OBSIDIANA</t>
  </si>
  <si>
    <t>ABOGADA</t>
  </si>
  <si>
    <t>AUXILIAR</t>
  </si>
  <si>
    <t>INGENIERA</t>
  </si>
  <si>
    <t>LOGISTICA</t>
  </si>
  <si>
    <t>Total</t>
  </si>
  <si>
    <t>Parquesito</t>
  </si>
  <si>
    <t>Muros de contención</t>
  </si>
  <si>
    <t>N°</t>
  </si>
  <si>
    <t>J.A.C</t>
  </si>
  <si>
    <t>Nombre del Proyecto</t>
  </si>
  <si>
    <t>FECHA DE ENVIO DE ESTUDIOS PREVIOS</t>
  </si>
  <si>
    <t>N° DE CONVENIO</t>
  </si>
  <si>
    <t>AÑO A EJECUTAR</t>
  </si>
  <si>
    <t>RP</t>
  </si>
  <si>
    <t>EXPEDICION POLIZA</t>
  </si>
  <si>
    <t>APROBACION DE POLIZA</t>
  </si>
  <si>
    <t>ESTADO</t>
  </si>
  <si>
    <t>ACTA DE INICIO</t>
  </si>
  <si>
    <t>FECHA DE ENTREGA</t>
  </si>
  <si>
    <t>PAGO 1</t>
  </si>
  <si>
    <t>PAGO 2</t>
  </si>
  <si>
    <t>PAGO 3</t>
  </si>
  <si>
    <t>ACTA PROVISIONAL</t>
  </si>
  <si>
    <t>ACTA DE RECIBO</t>
  </si>
  <si>
    <t>ACTA LIQUIDACION</t>
  </si>
  <si>
    <t>FACTURAS</t>
  </si>
  <si>
    <t>VALOR CONVENIO</t>
  </si>
  <si>
    <t>OBSERVACIONES</t>
  </si>
  <si>
    <t>JUAN COJO</t>
  </si>
  <si>
    <t>Construcción de Parquesito</t>
  </si>
  <si>
    <t>X</t>
  </si>
  <si>
    <t>FINALIZADO</t>
  </si>
  <si>
    <t>x</t>
  </si>
  <si>
    <t>SAN ANDRES</t>
  </si>
  <si>
    <t>Mejoramiento de la Sede Comunal</t>
  </si>
  <si>
    <t>$18,859,097.00</t>
  </si>
  <si>
    <t>SAN DIEGO</t>
  </si>
  <si>
    <t>Placa Huella</t>
  </si>
  <si>
    <t>$32,600,000.00</t>
  </si>
  <si>
    <t>LA PALMA</t>
  </si>
  <si>
    <t>$39,697,000.00</t>
  </si>
  <si>
    <t>LA MATA</t>
  </si>
  <si>
    <t>Mejoramiento vía Principal</t>
  </si>
  <si>
    <t>JAMUNDI ESCUELA</t>
  </si>
  <si>
    <t>Cámaras de seguridad</t>
  </si>
  <si>
    <t>B. PARAISO</t>
  </si>
  <si>
    <t>Mejoramiento Sede Comunal</t>
  </si>
  <si>
    <t>$28,160,000.00</t>
  </si>
  <si>
    <t>EL SOCORRO</t>
  </si>
  <si>
    <t>$36,400,000.00</t>
  </si>
  <si>
    <t>FEDERACION (MANGA ARRIBA, TOTUMO, LA CALERA)</t>
  </si>
  <si>
    <r>
      <t>Manga Arriba:</t>
    </r>
    <r>
      <rPr>
        <sz val="10"/>
        <color theme="1"/>
        <rFont val="Calibri"/>
        <family val="2"/>
      </rPr>
      <t>Mejoramiento de la Sede Comunal, Centro de Salud y Placa Polideportiva .</t>
    </r>
    <r>
      <rPr>
        <b/>
        <sz val="10"/>
        <color theme="1"/>
        <rFont val="Calibri"/>
        <family val="2"/>
      </rPr>
      <t>Totumo:Mejoramiento de la sede Comunal. La Calera: Placa Huella</t>
    </r>
  </si>
  <si>
    <t>OBSERVACION</t>
  </si>
  <si>
    <t>$129,759,532.00</t>
  </si>
  <si>
    <t>LOMA DE LOS OCHOA</t>
  </si>
  <si>
    <t>$40,400,000.00</t>
  </si>
  <si>
    <t>AURELIO MEJIA</t>
  </si>
  <si>
    <t>$24,780,800.00</t>
  </si>
  <si>
    <t>ENCENILLOS</t>
  </si>
  <si>
    <t>Mejoramiento del Centro de Salud</t>
  </si>
  <si>
    <t>SALADO</t>
  </si>
  <si>
    <t>Enchape de tanques de acueducto</t>
  </si>
  <si>
    <t>$18,160,000.00</t>
  </si>
  <si>
    <t>MESETA</t>
  </si>
  <si>
    <t>PALMAR</t>
  </si>
  <si>
    <t>Mejormiento de la vía</t>
  </si>
  <si>
    <t>V. PARAISO</t>
  </si>
  <si>
    <t>Mejoramiento de la vía principal</t>
  </si>
  <si>
    <t>MATICA PARTE ALTA</t>
  </si>
  <si>
    <t>Muro de contensión en la vía principal</t>
  </si>
  <si>
    <t>$39,800,000.00</t>
  </si>
  <si>
    <t>LAS CUCHILLAS</t>
  </si>
  <si>
    <t>EL CANO ADC</t>
  </si>
  <si>
    <t>$10,000,000.00</t>
  </si>
  <si>
    <t>MERCEDES ABREGO ADC</t>
  </si>
  <si>
    <t>Construcción de Alcantarillado</t>
  </si>
  <si>
    <t>$7,000,000.00</t>
  </si>
  <si>
    <t>SAN ESTEBAN</t>
  </si>
  <si>
    <t>POTRERITO</t>
  </si>
  <si>
    <t>Placa Huella Sector los Cataños, El Hoyo y Mejoramiento del Acueducto</t>
  </si>
  <si>
    <t>GUAYACANES</t>
  </si>
  <si>
    <t>Construcción de Cerramientos</t>
  </si>
  <si>
    <t>$15,000,000.00</t>
  </si>
  <si>
    <t>SAN DIEGO 1</t>
  </si>
  <si>
    <t>EJECUCION</t>
  </si>
  <si>
    <t>JAMUNDI RIELES</t>
  </si>
  <si>
    <t>Mejoramiento de la sede Comunal</t>
  </si>
  <si>
    <t>$29,521,550.00</t>
  </si>
  <si>
    <t>saldo a favor (3.078.450)</t>
  </si>
  <si>
    <t>MATICA P.B ADC</t>
  </si>
  <si>
    <t>Mejoramiento de la sede Comunal y construcción de andenes</t>
  </si>
  <si>
    <t>$34,500,000.00</t>
  </si>
  <si>
    <t>BARRIO EL LLANO</t>
  </si>
  <si>
    <t>2024-2025</t>
  </si>
  <si>
    <t>$51,915,776.00</t>
  </si>
  <si>
    <t>GUADUALES</t>
  </si>
  <si>
    <t>Mejoramiento de Vivienda</t>
  </si>
  <si>
    <t>$58,995,200.00</t>
  </si>
  <si>
    <t>SECTOR LA CALLE</t>
  </si>
  <si>
    <t>Construcción de Andenes</t>
  </si>
  <si>
    <t>$76,258,000.00</t>
  </si>
  <si>
    <t>SANTA ANA</t>
  </si>
  <si>
    <t>Mejoramiento de las placas polideportivas</t>
  </si>
  <si>
    <t>$51,917,776.00</t>
  </si>
  <si>
    <t>NARANJAL</t>
  </si>
  <si>
    <t>Construcción de Cubiertas</t>
  </si>
  <si>
    <t>BARRO</t>
  </si>
  <si>
    <t>$68,297,000.00</t>
  </si>
  <si>
    <t>Placa Huella Sector los Hoyos</t>
  </si>
  <si>
    <t>SOCORRO</t>
  </si>
  <si>
    <t>Placa Huella Vía Principal</t>
  </si>
  <si>
    <t>2025-2026</t>
  </si>
  <si>
    <t>$120,433,444.00</t>
  </si>
  <si>
    <t>HOLANDA P.B</t>
  </si>
  <si>
    <t>Adecuación de batea y Mejoramiento de la sede comunal</t>
  </si>
  <si>
    <t>OZONO Y MEDIO AMBIENTE</t>
  </si>
  <si>
    <t>Licitacion (yarumo-nuevo horizonte- hato grande y san andres)</t>
  </si>
  <si>
    <t>$245,729,603.53</t>
  </si>
  <si>
    <t>$1,613,946,858.53</t>
  </si>
  <si>
    <t>TOTAL CONVENIOS 2025</t>
  </si>
  <si>
    <t>AFILIACION</t>
  </si>
  <si>
    <t>Link del proceso</t>
  </si>
  <si>
    <t>VALOR EJECUTADO</t>
  </si>
  <si>
    <t>Suspensión</t>
  </si>
  <si>
    <t>Reinicio</t>
  </si>
  <si>
    <t>Ampliación de poliza</t>
  </si>
  <si>
    <t>HOLANDA P.A</t>
  </si>
  <si>
    <t>Mejoramiento centro de salud</t>
  </si>
  <si>
    <t>CUCHILLAS</t>
  </si>
  <si>
    <t>LLANO</t>
  </si>
  <si>
    <t>Mejoramiento vivienda</t>
  </si>
  <si>
    <t>VEREDA PARAISO</t>
  </si>
  <si>
    <t>BARRIO PARAISO</t>
  </si>
  <si>
    <t>BARRIO FLORIDA</t>
  </si>
  <si>
    <t>TOTUMO</t>
  </si>
  <si>
    <t>YARUMO</t>
  </si>
  <si>
    <t>pisos</t>
  </si>
  <si>
    <t>PALMA</t>
  </si>
  <si>
    <t>LICITACIÓN</t>
  </si>
  <si>
    <t>MATICA PARTE BAJA</t>
  </si>
  <si>
    <t>ESTUDIO HIDROLOGICO</t>
  </si>
  <si>
    <t>$100,000,000.00</t>
  </si>
  <si>
    <t>Diseños,</t>
  </si>
  <si>
    <t>CENTROS DE DESARROLLO COMUNITARIO</t>
  </si>
  <si>
    <t>4 AÑOS</t>
  </si>
  <si>
    <t>PORTACHUELO</t>
  </si>
  <si>
    <t>2026-2027</t>
  </si>
  <si>
    <t>JUAN C0JO</t>
  </si>
  <si>
    <t>$310,000,000.00</t>
  </si>
  <si>
    <t>CANO</t>
  </si>
  <si>
    <t>Cubierta Placa Polideportiva</t>
  </si>
  <si>
    <t>Ampliación Sede</t>
  </si>
  <si>
    <t>COMPRA</t>
  </si>
  <si>
    <t>SAN JOSE</t>
  </si>
  <si>
    <t>Cerramiento</t>
  </si>
  <si>
    <t>Mejoramiento placa deportiva</t>
  </si>
  <si>
    <t>Obras de drenaje</t>
  </si>
  <si>
    <t>Placa huella</t>
  </si>
  <si>
    <t>Cubierta</t>
  </si>
  <si>
    <t>Nombre</t>
  </si>
  <si>
    <t>CDP</t>
  </si>
  <si>
    <t>CS017-2026</t>
  </si>
  <si>
    <t>Crearser</t>
  </si>
  <si>
    <t>Participacion infantil en el municipio de Girardota</t>
  </si>
  <si>
    <t>CS018-2026</t>
  </si>
  <si>
    <t>Consejo comunitario</t>
  </si>
  <si>
    <t>Arte, danza con esrudiantes de coredi y familias</t>
  </si>
  <si>
    <t>CS019-2026</t>
  </si>
  <si>
    <t>Asomur</t>
  </si>
  <si>
    <t>Fortalecimiento de las capacidades de la mujer rural</t>
  </si>
  <si>
    <t>CS020-2026</t>
  </si>
  <si>
    <t>Danzarte</t>
  </si>
  <si>
    <t>Arte y cultura con niños jovenes</t>
  </si>
  <si>
    <t>CS022-2026</t>
  </si>
  <si>
    <t>Alehan</t>
  </si>
  <si>
    <t>Fortalecimiento de la red de discapacidad</t>
  </si>
  <si>
    <t>CS023-2026</t>
  </si>
  <si>
    <t>Corporacion capital del norte</t>
  </si>
  <si>
    <t>Danza en zona rural y urbana del municipio</t>
  </si>
  <si>
    <t>CONVENIO</t>
  </si>
  <si>
    <t>OBSERVATORIO PBOT</t>
  </si>
  <si>
    <t>BAZAR MULTICULTURAL</t>
  </si>
  <si>
    <t>ACUEDUCTOS</t>
  </si>
  <si>
    <t>CDMR</t>
  </si>
  <si>
    <t>CHARCUZZI</t>
  </si>
  <si>
    <t>AMBIENTAL</t>
  </si>
  <si>
    <t>EDUCACIÓN</t>
  </si>
  <si>
    <t>ASOCOMUNAL</t>
  </si>
  <si>
    <t>Fortalecimiento en liderazgo</t>
  </si>
  <si>
    <t>MONTECARLOS</t>
  </si>
  <si>
    <t>CEIBA</t>
  </si>
  <si>
    <t>ADC</t>
  </si>
  <si>
    <t>GIRARDOTA LN</t>
  </si>
  <si>
    <t>2025+ ADC</t>
  </si>
  <si>
    <t>Otrosí</t>
  </si>
  <si>
    <t xml:space="preserve">MATA </t>
  </si>
  <si>
    <t>2025-20206</t>
  </si>
  <si>
    <t>Suministro</t>
  </si>
  <si>
    <t>Ajuste del 2024</t>
  </si>
  <si>
    <t>INICIO</t>
  </si>
  <si>
    <t>EXCEDENTE</t>
  </si>
  <si>
    <t>MERCEDES ABREGO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</si>
</sst>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8"/>
      <color theme="1"/>
      <name val="Calibri"/>
      <family val="2"/>
    </font>
    <font>
      <b/>
      <sz val="6"/>
      <color theme="1"/>
      <name val="Calibri"/>
      <family val="2"/>
    </font>
    <font>
      <b/>
      <sz val="9"/>
      <color theme="1"/>
      <name val="Calibri"/>
      <family val="2"/>
    </font>
    <font>
      <b/>
      <sz val="7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2"/>
      <color theme="1"/>
      <name val="Calibri"/>
      <family val="2"/>
    </font>
    <font>
      <sz val="8"/>
      <color theme="1"/>
      <name val="Arial"/>
      <family val="2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7CEB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96B24"/>
        <bgColor indexed="64"/>
      </patternFill>
    </fill>
    <fill>
      <patternFill patternType="solid">
        <fgColor rgb="FF8ED873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155">
    <xf numFmtId="0" fontId="0" fillId="0" borderId="0" xfId="0"/>
    <xf numFmtId="0" fontId="0" fillId="0" borderId="3" xfId="0" applyBorder="1" applyAlignment="1">
      <alignment wrapText="1"/>
    </xf>
    <xf numFmtId="0" fontId="3" fillId="0" borderId="3" xfId="0" applyFont="1" applyBorder="1" applyAlignment="1">
      <alignment wrapText="1"/>
    </xf>
    <xf numFmtId="0" fontId="0" fillId="0" borderId="4" xfId="0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3" fillId="0" borderId="4" xfId="0" applyFont="1" applyBorder="1" applyAlignment="1">
      <alignment vertical="center" wrapText="1"/>
    </xf>
    <xf numFmtId="164" fontId="3" fillId="0" borderId="4" xfId="0" applyNumberFormat="1" applyFont="1" applyBorder="1" applyAlignment="1">
      <alignment horizontal="right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164" fontId="3" fillId="0" borderId="4" xfId="0" applyNumberFormat="1" applyFont="1" applyBorder="1" applyAlignment="1">
      <alignment horizontal="right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2" fillId="0" borderId="4" xfId="0" applyFont="1" applyBorder="1" applyAlignment="1">
      <alignment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2" fillId="9" borderId="3" xfId="0" applyFont="1" applyFill="1" applyBorder="1" applyAlignment="1">
      <alignment wrapText="1"/>
    </xf>
    <xf numFmtId="0" fontId="2" fillId="9" borderId="4" xfId="0" applyFont="1" applyFill="1" applyBorder="1" applyAlignment="1">
      <alignment horizontal="center" wrapText="1"/>
    </xf>
    <xf numFmtId="0" fontId="4" fillId="9" borderId="4" xfId="0" applyFont="1" applyFill="1" applyBorder="1" applyAlignment="1">
      <alignment horizontal="center" wrapText="1"/>
    </xf>
    <xf numFmtId="0" fontId="5" fillId="9" borderId="4" xfId="0" applyFont="1" applyFill="1" applyBorder="1" applyAlignment="1">
      <alignment horizontal="center" wrapText="1"/>
    </xf>
    <xf numFmtId="0" fontId="6" fillId="9" borderId="4" xfId="0" applyFont="1" applyFill="1" applyBorder="1" applyAlignment="1">
      <alignment horizontal="center" wrapText="1"/>
    </xf>
    <xf numFmtId="0" fontId="7" fillId="9" borderId="4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right" wrapText="1"/>
    </xf>
    <xf numFmtId="0" fontId="0" fillId="5" borderId="4" xfId="0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14" fontId="3" fillId="5" borderId="4" xfId="0" applyNumberFormat="1" applyFont="1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3" fillId="5" borderId="4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right" wrapText="1"/>
    </xf>
    <xf numFmtId="0" fontId="8" fillId="3" borderId="4" xfId="0" applyFont="1" applyFill="1" applyBorder="1" applyAlignment="1">
      <alignment wrapText="1"/>
    </xf>
    <xf numFmtId="0" fontId="10" fillId="0" borderId="4" xfId="0" applyFont="1" applyBorder="1" applyAlignment="1">
      <alignment wrapText="1"/>
    </xf>
    <xf numFmtId="14" fontId="3" fillId="0" borderId="4" xfId="0" applyNumberFormat="1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8" fillId="5" borderId="4" xfId="0" applyFont="1" applyFill="1" applyBorder="1" applyAlignment="1">
      <alignment wrapText="1"/>
    </xf>
    <xf numFmtId="0" fontId="3" fillId="5" borderId="4" xfId="0" applyFont="1" applyFill="1" applyBorder="1" applyAlignment="1">
      <alignment horizontal="right" wrapText="1"/>
    </xf>
    <xf numFmtId="0" fontId="0" fillId="4" borderId="4" xfId="0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11" fillId="0" borderId="5" xfId="0" applyFont="1" applyBorder="1" applyAlignment="1">
      <alignment wrapText="1"/>
    </xf>
    <xf numFmtId="0" fontId="11" fillId="0" borderId="5" xfId="0" applyFont="1" applyBorder="1" applyAlignment="1">
      <alignment horizontal="right" wrapText="1"/>
    </xf>
    <xf numFmtId="0" fontId="12" fillId="0" borderId="3" xfId="0" applyFont="1" applyBorder="1" applyAlignment="1">
      <alignment horizontal="right" wrapText="1"/>
    </xf>
    <xf numFmtId="0" fontId="13" fillId="0" borderId="4" xfId="0" applyFont="1" applyBorder="1" applyAlignment="1">
      <alignment wrapText="1"/>
    </xf>
    <xf numFmtId="0" fontId="12" fillId="0" borderId="4" xfId="0" applyFont="1" applyBorder="1" applyAlignment="1">
      <alignment wrapText="1"/>
    </xf>
    <xf numFmtId="14" fontId="12" fillId="0" borderId="4" xfId="0" applyNumberFormat="1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2" fillId="3" borderId="3" xfId="0" applyFont="1" applyFill="1" applyBorder="1" applyAlignment="1">
      <alignment horizontal="right" wrapText="1"/>
    </xf>
    <xf numFmtId="0" fontId="13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14" fontId="12" fillId="3" borderId="4" xfId="0" applyNumberFormat="1" applyFont="1" applyFill="1" applyBorder="1" applyAlignment="1">
      <alignment horizontal="center" wrapText="1"/>
    </xf>
    <xf numFmtId="0" fontId="11" fillId="3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14" fontId="3" fillId="3" borderId="4" xfId="0" applyNumberFormat="1" applyFont="1" applyFill="1" applyBorder="1" applyAlignment="1">
      <alignment horizontal="center" wrapText="1"/>
    </xf>
    <xf numFmtId="0" fontId="12" fillId="3" borderId="4" xfId="0" applyFont="1" applyFill="1" applyBorder="1" applyAlignment="1">
      <alignment horizontal="center" wrapText="1"/>
    </xf>
    <xf numFmtId="0" fontId="12" fillId="5" borderId="3" xfId="0" applyFont="1" applyFill="1" applyBorder="1" applyAlignment="1">
      <alignment horizontal="right" wrapText="1"/>
    </xf>
    <xf numFmtId="0" fontId="13" fillId="5" borderId="4" xfId="0" applyFont="1" applyFill="1" applyBorder="1" applyAlignment="1">
      <alignment wrapText="1"/>
    </xf>
    <xf numFmtId="0" fontId="12" fillId="5" borderId="4" xfId="0" applyFont="1" applyFill="1" applyBorder="1" applyAlignment="1">
      <alignment wrapText="1"/>
    </xf>
    <xf numFmtId="0" fontId="14" fillId="5" borderId="4" xfId="0" applyFont="1" applyFill="1" applyBorder="1" applyAlignment="1">
      <alignment horizontal="right" wrapText="1"/>
    </xf>
    <xf numFmtId="0" fontId="0" fillId="0" borderId="7" xfId="0" applyBorder="1" applyAlignment="1">
      <alignment wrapText="1"/>
    </xf>
    <xf numFmtId="0" fontId="0" fillId="10" borderId="6" xfId="0" applyFill="1" applyBorder="1" applyAlignment="1">
      <alignment wrapText="1"/>
    </xf>
    <xf numFmtId="0" fontId="15" fillId="10" borderId="4" xfId="0" applyFont="1" applyFill="1" applyBorder="1" applyAlignment="1">
      <alignment horizontal="right" wrapText="1"/>
    </xf>
    <xf numFmtId="0" fontId="0" fillId="10" borderId="4" xfId="0" applyFill="1" applyBorder="1" applyAlignment="1">
      <alignment wrapText="1"/>
    </xf>
    <xf numFmtId="0" fontId="3" fillId="10" borderId="4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12" borderId="4" xfId="0" applyFont="1" applyFill="1" applyBorder="1" applyAlignment="1">
      <alignment horizontal="center" wrapText="1"/>
    </xf>
    <xf numFmtId="0" fontId="16" fillId="12" borderId="4" xfId="0" applyFont="1" applyFill="1" applyBorder="1" applyAlignment="1">
      <alignment wrapText="1"/>
    </xf>
    <xf numFmtId="0" fontId="3" fillId="3" borderId="3" xfId="0" applyFont="1" applyFill="1" applyBorder="1" applyAlignment="1">
      <alignment horizontal="right" wrapText="1"/>
    </xf>
    <xf numFmtId="165" fontId="11" fillId="3" borderId="4" xfId="0" applyNumberFormat="1" applyFont="1" applyFill="1" applyBorder="1" applyAlignment="1">
      <alignment horizontal="center" wrapText="1"/>
    </xf>
    <xf numFmtId="0" fontId="17" fillId="3" borderId="4" xfId="0" applyFont="1" applyFill="1" applyBorder="1" applyAlignment="1">
      <alignment wrapText="1"/>
    </xf>
    <xf numFmtId="165" fontId="11" fillId="4" borderId="4" xfId="0" applyNumberFormat="1" applyFont="1" applyFill="1" applyBorder="1" applyAlignment="1">
      <alignment horizontal="center" wrapText="1"/>
    </xf>
    <xf numFmtId="0" fontId="13" fillId="3" borderId="4" xfId="0" applyFont="1" applyFill="1" applyBorder="1" applyAlignment="1">
      <alignment horizontal="center" wrapText="1"/>
    </xf>
    <xf numFmtId="165" fontId="11" fillId="0" borderId="5" xfId="0" applyNumberFormat="1" applyFont="1" applyBorder="1" applyAlignment="1">
      <alignment horizontal="center" wrapText="1"/>
    </xf>
    <xf numFmtId="0" fontId="11" fillId="0" borderId="4" xfId="0" applyFont="1" applyBorder="1" applyAlignment="1">
      <alignment horizontal="right" wrapText="1"/>
    </xf>
    <xf numFmtId="0" fontId="6" fillId="9" borderId="1" xfId="0" applyFont="1" applyFill="1" applyBorder="1" applyAlignment="1">
      <alignment wrapText="1"/>
    </xf>
    <xf numFmtId="0" fontId="6" fillId="12" borderId="2" xfId="0" applyFont="1" applyFill="1" applyBorder="1" applyAlignment="1">
      <alignment horizontal="center" wrapText="1"/>
    </xf>
    <xf numFmtId="0" fontId="16" fillId="12" borderId="2" xfId="0" applyFont="1" applyFill="1" applyBorder="1" applyAlignment="1">
      <alignment wrapText="1"/>
    </xf>
    <xf numFmtId="0" fontId="11" fillId="0" borderId="4" xfId="0" applyFont="1" applyBorder="1" applyAlignment="1">
      <alignment wrapText="1"/>
    </xf>
    <xf numFmtId="14" fontId="18" fillId="3" borderId="4" xfId="0" applyNumberFormat="1" applyFont="1" applyFill="1" applyBorder="1" applyAlignment="1">
      <alignment wrapText="1"/>
    </xf>
    <xf numFmtId="14" fontId="13" fillId="3" borderId="4" xfId="0" applyNumberFormat="1" applyFont="1" applyFill="1" applyBorder="1" applyAlignment="1">
      <alignment wrapText="1"/>
    </xf>
    <xf numFmtId="165" fontId="0" fillId="0" borderId="4" xfId="0" applyNumberForma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14" xfId="0" applyBorder="1" applyAlignment="1">
      <alignment wrapText="1"/>
    </xf>
    <xf numFmtId="0" fontId="3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0" fillId="0" borderId="0" xfId="0" applyAlignment="1">
      <alignment wrapText="1"/>
    </xf>
    <xf numFmtId="14" fontId="18" fillId="3" borderId="0" xfId="0" applyNumberFormat="1" applyFont="1" applyFill="1" applyAlignment="1">
      <alignment wrapText="1"/>
    </xf>
    <xf numFmtId="14" fontId="13" fillId="3" borderId="0" xfId="0" applyNumberFormat="1" applyFont="1" applyFill="1" applyAlignment="1">
      <alignment wrapText="1"/>
    </xf>
    <xf numFmtId="0" fontId="3" fillId="0" borderId="1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3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7" xfId="0" applyBorder="1" applyAlignment="1">
      <alignment wrapText="1"/>
    </xf>
    <xf numFmtId="14" fontId="18" fillId="3" borderId="17" xfId="0" applyNumberFormat="1" applyFont="1" applyFill="1" applyBorder="1" applyAlignment="1">
      <alignment wrapText="1"/>
    </xf>
    <xf numFmtId="14" fontId="13" fillId="3" borderId="17" xfId="0" applyNumberFormat="1" applyFont="1" applyFill="1" applyBorder="1" applyAlignment="1">
      <alignment wrapText="1"/>
    </xf>
    <xf numFmtId="165" fontId="0" fillId="0" borderId="11" xfId="0" applyNumberFormat="1" applyBorder="1" applyAlignment="1">
      <alignment wrapText="1"/>
    </xf>
    <xf numFmtId="165" fontId="0" fillId="10" borderId="18" xfId="0" applyNumberFormat="1" applyFill="1" applyBorder="1" applyAlignment="1">
      <alignment wrapText="1"/>
    </xf>
    <xf numFmtId="165" fontId="0" fillId="0" borderId="0" xfId="0" applyNumberFormat="1" applyAlignment="1">
      <alignment wrapText="1"/>
    </xf>
    <xf numFmtId="0" fontId="0" fillId="0" borderId="15" xfId="0" applyBorder="1" applyAlignment="1">
      <alignment wrapText="1"/>
    </xf>
    <xf numFmtId="0" fontId="0" fillId="0" borderId="19" xfId="0" applyBorder="1" applyAlignment="1">
      <alignment wrapText="1"/>
    </xf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0" fillId="0" borderId="21" xfId="0" applyBorder="1" applyAlignment="1">
      <alignment wrapText="1"/>
    </xf>
    <xf numFmtId="165" fontId="0" fillId="0" borderId="21" xfId="0" applyNumberFormat="1" applyBorder="1" applyAlignment="1">
      <alignment wrapText="1"/>
    </xf>
    <xf numFmtId="165" fontId="0" fillId="0" borderId="15" xfId="0" applyNumberFormat="1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3" fillId="0" borderId="22" xfId="0" applyFont="1" applyBorder="1" applyAlignment="1">
      <alignment vertical="center" wrapText="1"/>
    </xf>
    <xf numFmtId="164" fontId="3" fillId="0" borderId="11" xfId="0" applyNumberFormat="1" applyFont="1" applyBorder="1" applyAlignment="1">
      <alignment horizontal="right" vertical="center" wrapText="1"/>
    </xf>
    <xf numFmtId="0" fontId="3" fillId="0" borderId="24" xfId="0" applyFont="1" applyBorder="1" applyAlignment="1">
      <alignment vertical="center" wrapText="1"/>
    </xf>
    <xf numFmtId="164" fontId="3" fillId="10" borderId="18" xfId="0" applyNumberFormat="1" applyFont="1" applyFill="1" applyBorder="1" applyAlignment="1">
      <alignment vertical="center" wrapText="1"/>
    </xf>
    <xf numFmtId="166" fontId="3" fillId="5" borderId="4" xfId="1" applyFont="1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/>
    </xf>
    <xf numFmtId="166" fontId="0" fillId="5" borderId="4" xfId="1" applyFont="1" applyFill="1" applyBorder="1" applyAlignment="1">
      <alignment wrapText="1"/>
    </xf>
    <xf numFmtId="0" fontId="12" fillId="4" borderId="3" xfId="0" applyFont="1" applyFill="1" applyBorder="1" applyAlignment="1">
      <alignment horizontal="right" wrapText="1"/>
    </xf>
    <xf numFmtId="0" fontId="13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14" fontId="12" fillId="4" borderId="4" xfId="0" applyNumberFormat="1" applyFont="1" applyFill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166" fontId="11" fillId="3" borderId="4" xfId="1" applyFont="1" applyFill="1" applyBorder="1" applyAlignment="1">
      <alignment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wrapText="1"/>
    </xf>
    <xf numFmtId="0" fontId="2" fillId="8" borderId="9" xfId="0" applyFont="1" applyFill="1" applyBorder="1" applyAlignment="1">
      <alignment horizontal="center" wrapText="1"/>
    </xf>
    <xf numFmtId="0" fontId="2" fillId="8" borderId="10" xfId="0" applyFont="1" applyFill="1" applyBorder="1" applyAlignment="1">
      <alignment horizontal="center" wrapText="1"/>
    </xf>
    <xf numFmtId="0" fontId="0" fillId="11" borderId="8" xfId="0" applyFill="1" applyBorder="1" applyAlignment="1">
      <alignment wrapText="1"/>
    </xf>
    <xf numFmtId="0" fontId="0" fillId="11" borderId="9" xfId="0" applyFill="1" applyBorder="1" applyAlignment="1">
      <alignment wrapText="1"/>
    </xf>
    <xf numFmtId="0" fontId="0" fillId="11" borderId="10" xfId="0" applyFill="1" applyBorder="1" applyAlignment="1">
      <alignment wrapText="1"/>
    </xf>
    <xf numFmtId="0" fontId="2" fillId="12" borderId="8" xfId="0" applyFont="1" applyFill="1" applyBorder="1" applyAlignment="1">
      <alignment horizontal="center" wrapText="1"/>
    </xf>
    <xf numFmtId="0" fontId="2" fillId="12" borderId="9" xfId="0" applyFont="1" applyFill="1" applyBorder="1" applyAlignment="1">
      <alignment horizontal="center" wrapText="1"/>
    </xf>
    <xf numFmtId="0" fontId="2" fillId="12" borderId="10" xfId="0" applyFont="1" applyFill="1" applyBorder="1" applyAlignment="1">
      <alignment horizont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0A95B-D0E8-41AA-A6D2-F0D5A2982887}">
  <dimension ref="A1:P19"/>
  <sheetViews>
    <sheetView tabSelected="1" workbookViewId="0">
      <selection activeCell="D2" sqref="D2"/>
    </sheetView>
  </sheetViews>
  <sheetFormatPr baseColWidth="10" defaultRowHeight="14.5" x14ac:dyDescent="0.35"/>
  <cols>
    <col min="1" max="1" width="16" customWidth="1"/>
    <col min="3" max="3" width="29.453125" customWidth="1"/>
    <col min="4" max="4" width="19" customWidth="1"/>
    <col min="7" max="7" width="17.81640625" customWidth="1"/>
    <col min="8" max="8" width="11.1796875" bestFit="1" customWidth="1"/>
    <col min="10" max="10" width="11.1796875" bestFit="1" customWidth="1"/>
    <col min="13" max="13" width="11.1796875" bestFit="1" customWidth="1"/>
    <col min="16" max="16" width="13.453125" customWidth="1"/>
  </cols>
  <sheetData>
    <row r="1" spans="1:16" ht="44" thickBot="1" x14ac:dyDescent="0.4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</row>
    <row r="2" spans="1:16" ht="36" customHeight="1" thickBot="1" x14ac:dyDescent="0.4">
      <c r="A2" s="8" t="s">
        <v>21</v>
      </c>
      <c r="B2" s="6" t="s">
        <v>22</v>
      </c>
      <c r="C2" s="6" t="s">
        <v>23</v>
      </c>
      <c r="D2" s="6" t="s">
        <v>24</v>
      </c>
      <c r="E2" s="9">
        <v>1</v>
      </c>
      <c r="F2" s="6" t="s">
        <v>25</v>
      </c>
      <c r="G2" s="6" t="s">
        <v>19</v>
      </c>
      <c r="H2" s="10">
        <v>36400000</v>
      </c>
      <c r="I2" s="6"/>
      <c r="J2" s="24" t="s">
        <v>26</v>
      </c>
      <c r="K2" s="6" t="s">
        <v>26</v>
      </c>
      <c r="L2" s="6" t="s">
        <v>26</v>
      </c>
      <c r="M2" s="10">
        <v>36400000</v>
      </c>
      <c r="N2" s="24" t="s">
        <v>18</v>
      </c>
      <c r="O2" s="24" t="s">
        <v>18</v>
      </c>
      <c r="P2" s="10">
        <v>39858000</v>
      </c>
    </row>
    <row r="3" spans="1:16" ht="72.75" customHeight="1" thickBot="1" x14ac:dyDescent="0.4">
      <c r="A3" s="8" t="s">
        <v>28</v>
      </c>
      <c r="B3" s="6" t="s">
        <v>16</v>
      </c>
      <c r="C3" s="6" t="s">
        <v>29</v>
      </c>
      <c r="D3" s="6" t="s">
        <v>52</v>
      </c>
      <c r="E3" s="9">
        <v>1</v>
      </c>
      <c r="F3" s="6" t="s">
        <v>25</v>
      </c>
      <c r="G3" s="6" t="s">
        <v>19</v>
      </c>
      <c r="H3" s="10">
        <v>24780800</v>
      </c>
      <c r="I3" s="6"/>
      <c r="J3" s="25">
        <v>9912320</v>
      </c>
      <c r="K3" s="10">
        <v>8673280</v>
      </c>
      <c r="L3" s="10">
        <v>6195200</v>
      </c>
      <c r="M3" s="6"/>
      <c r="N3" s="24" t="s">
        <v>18</v>
      </c>
      <c r="O3" s="24" t="s">
        <v>18</v>
      </c>
      <c r="P3" s="10">
        <v>27134976</v>
      </c>
    </row>
    <row r="4" spans="1:16" ht="22.5" customHeight="1" thickBot="1" x14ac:dyDescent="0.4">
      <c r="A4" s="8" t="s">
        <v>30</v>
      </c>
      <c r="B4" s="6" t="s">
        <v>20</v>
      </c>
      <c r="C4" s="6" t="s">
        <v>31</v>
      </c>
      <c r="D4" s="6"/>
      <c r="E4" s="9">
        <v>1</v>
      </c>
      <c r="F4" s="6" t="s">
        <v>25</v>
      </c>
      <c r="G4" s="6" t="s">
        <v>19</v>
      </c>
      <c r="H4" s="10">
        <v>32600000</v>
      </c>
      <c r="I4" s="6"/>
      <c r="J4" s="25">
        <v>13040000</v>
      </c>
      <c r="K4" s="10">
        <v>11410000</v>
      </c>
      <c r="L4" s="10">
        <v>8150000</v>
      </c>
      <c r="M4" s="6"/>
      <c r="N4" s="24" t="s">
        <v>18</v>
      </c>
      <c r="O4" s="24" t="s">
        <v>18</v>
      </c>
      <c r="P4" s="10">
        <v>35697000</v>
      </c>
    </row>
    <row r="5" spans="1:16" ht="42.75" customHeight="1" thickBot="1" x14ac:dyDescent="0.4">
      <c r="A5" s="8" t="s">
        <v>32</v>
      </c>
      <c r="B5" s="6" t="s">
        <v>16</v>
      </c>
      <c r="C5" s="6" t="s">
        <v>33</v>
      </c>
      <c r="D5" s="6" t="s">
        <v>33</v>
      </c>
      <c r="E5" s="9">
        <v>1</v>
      </c>
      <c r="F5" s="6" t="s">
        <v>25</v>
      </c>
      <c r="G5" s="6" t="s">
        <v>19</v>
      </c>
      <c r="H5" s="10">
        <v>24780800</v>
      </c>
      <c r="I5" s="6"/>
      <c r="J5" s="25">
        <v>9912320</v>
      </c>
      <c r="K5" s="10">
        <v>8673280</v>
      </c>
      <c r="L5" s="10">
        <v>6195200</v>
      </c>
      <c r="M5" s="6"/>
      <c r="N5" s="24" t="s">
        <v>18</v>
      </c>
      <c r="O5" s="24" t="s">
        <v>18</v>
      </c>
      <c r="P5" s="10">
        <v>27134976</v>
      </c>
    </row>
    <row r="6" spans="1:16" ht="93" customHeight="1" thickBot="1" x14ac:dyDescent="0.4">
      <c r="A6" s="8" t="s">
        <v>34</v>
      </c>
      <c r="B6" s="6" t="s">
        <v>20</v>
      </c>
      <c r="C6" s="6" t="s">
        <v>35</v>
      </c>
      <c r="D6" s="6" t="s">
        <v>53</v>
      </c>
      <c r="E6" s="9">
        <v>1</v>
      </c>
      <c r="F6" s="6" t="s">
        <v>27</v>
      </c>
      <c r="G6" s="6" t="s">
        <v>19</v>
      </c>
      <c r="H6" s="10">
        <v>32600000</v>
      </c>
      <c r="I6" s="6"/>
      <c r="J6" s="25">
        <v>13040000</v>
      </c>
      <c r="K6" s="10">
        <v>11410000</v>
      </c>
      <c r="L6" s="10">
        <v>8150000</v>
      </c>
      <c r="M6" s="6"/>
      <c r="N6" s="24" t="s">
        <v>18</v>
      </c>
      <c r="O6" s="24" t="s">
        <v>18</v>
      </c>
      <c r="P6" s="10">
        <v>35697000</v>
      </c>
    </row>
    <row r="7" spans="1:16" ht="18" customHeight="1" thickBot="1" x14ac:dyDescent="0.4">
      <c r="A7" s="8" t="s">
        <v>36</v>
      </c>
      <c r="B7" s="6" t="s">
        <v>20</v>
      </c>
      <c r="C7" s="6" t="s">
        <v>37</v>
      </c>
      <c r="D7" s="6" t="s">
        <v>24</v>
      </c>
      <c r="E7" s="9">
        <v>1</v>
      </c>
      <c r="F7" s="6" t="s">
        <v>25</v>
      </c>
      <c r="G7" s="6" t="s">
        <v>19</v>
      </c>
      <c r="H7" s="10">
        <v>32600000</v>
      </c>
      <c r="I7" s="6"/>
      <c r="J7" s="25">
        <v>13040000</v>
      </c>
      <c r="K7" s="10">
        <v>11410000</v>
      </c>
      <c r="L7" s="10">
        <v>8150000</v>
      </c>
      <c r="M7" s="6"/>
      <c r="N7" s="24" t="s">
        <v>18</v>
      </c>
      <c r="O7" s="24" t="s">
        <v>18</v>
      </c>
      <c r="P7" s="121">
        <v>35697000</v>
      </c>
    </row>
    <row r="8" spans="1:16" ht="15" thickBot="1" x14ac:dyDescent="0.4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20"/>
      <c r="P8" s="123">
        <f>SUM(P2:P7)</f>
        <v>201218952</v>
      </c>
    </row>
    <row r="9" spans="1:16" ht="15" thickBot="1" x14ac:dyDescent="0.4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22"/>
    </row>
    <row r="10" spans="1:16" ht="15" thickBot="1" x14ac:dyDescent="0.4">
      <c r="A10" s="20"/>
      <c r="B10" s="20"/>
      <c r="C10" s="20"/>
      <c r="D10" s="20"/>
      <c r="E10" s="20"/>
      <c r="F10" s="20"/>
      <c r="G10" s="20"/>
      <c r="H10" s="19"/>
      <c r="I10" s="19"/>
      <c r="J10" s="19"/>
      <c r="K10" s="19"/>
      <c r="L10" s="19"/>
      <c r="M10" s="19"/>
      <c r="N10" s="19"/>
      <c r="O10" s="19"/>
      <c r="P10" s="19"/>
    </row>
    <row r="11" spans="1:16" ht="15" thickBot="1" x14ac:dyDescent="0.4">
      <c r="A11" s="134" t="s">
        <v>38</v>
      </c>
      <c r="B11" s="135"/>
      <c r="C11" s="135"/>
      <c r="D11" s="135"/>
      <c r="E11" s="135"/>
      <c r="F11" s="135"/>
      <c r="G11" s="136"/>
      <c r="H11" s="19"/>
      <c r="I11" s="19"/>
      <c r="J11" s="19"/>
      <c r="K11" s="19"/>
      <c r="L11" s="19"/>
      <c r="M11" s="19"/>
      <c r="N11" s="19"/>
      <c r="O11" s="19"/>
      <c r="P11" s="19"/>
    </row>
    <row r="12" spans="1:16" ht="29.5" thickBot="1" x14ac:dyDescent="0.4">
      <c r="A12" s="12" t="s">
        <v>39</v>
      </c>
      <c r="B12" s="13" t="s">
        <v>40</v>
      </c>
      <c r="C12" s="11" t="s">
        <v>41</v>
      </c>
      <c r="D12" s="13" t="s">
        <v>42</v>
      </c>
      <c r="E12" s="13" t="s">
        <v>43</v>
      </c>
      <c r="F12" s="13" t="s">
        <v>44</v>
      </c>
      <c r="G12" s="13" t="s">
        <v>45</v>
      </c>
      <c r="H12" s="18"/>
      <c r="I12" s="18"/>
      <c r="J12" s="18"/>
      <c r="K12" s="18"/>
      <c r="L12" s="18"/>
      <c r="M12" s="18"/>
      <c r="N12" s="19"/>
      <c r="O12" s="19"/>
      <c r="P12" s="18"/>
    </row>
    <row r="13" spans="1:16" ht="15" thickBot="1" x14ac:dyDescent="0.4">
      <c r="A13" s="8" t="s">
        <v>46</v>
      </c>
      <c r="B13" s="4"/>
      <c r="C13" s="6"/>
      <c r="D13" s="4"/>
      <c r="E13" s="4"/>
      <c r="F13" s="4"/>
      <c r="G13" s="7">
        <v>95200000</v>
      </c>
      <c r="H13" s="18"/>
      <c r="I13" s="18"/>
      <c r="J13" s="18"/>
      <c r="K13" s="18"/>
      <c r="L13" s="18"/>
      <c r="M13" s="18"/>
      <c r="N13" s="19"/>
      <c r="O13" s="19"/>
      <c r="P13" s="18"/>
    </row>
    <row r="14" spans="1:16" ht="15" thickBot="1" x14ac:dyDescent="0.4">
      <c r="A14" s="8" t="s">
        <v>47</v>
      </c>
      <c r="B14" s="9">
        <v>4</v>
      </c>
      <c r="C14" s="10">
        <v>3681062</v>
      </c>
      <c r="D14" s="7">
        <v>5258660</v>
      </c>
      <c r="E14" s="7">
        <v>5258660</v>
      </c>
      <c r="F14" s="7">
        <v>4732794</v>
      </c>
      <c r="G14" s="7">
        <v>18931176</v>
      </c>
      <c r="H14" s="18"/>
      <c r="I14" s="18"/>
      <c r="J14" s="18"/>
      <c r="K14" s="18"/>
      <c r="L14" s="18"/>
      <c r="M14" s="18"/>
      <c r="N14" s="19"/>
      <c r="O14" s="19"/>
      <c r="P14" s="18"/>
    </row>
    <row r="15" spans="1:16" ht="15" thickBot="1" x14ac:dyDescent="0.4">
      <c r="A15" s="8" t="s">
        <v>48</v>
      </c>
      <c r="B15" s="9">
        <v>4</v>
      </c>
      <c r="C15" s="10">
        <v>517360</v>
      </c>
      <c r="D15" s="7">
        <v>2217260</v>
      </c>
      <c r="E15" s="7">
        <v>2217260</v>
      </c>
      <c r="F15" s="7">
        <v>1995534</v>
      </c>
      <c r="G15" s="7">
        <v>6947414</v>
      </c>
      <c r="H15" s="18"/>
      <c r="I15" s="18"/>
      <c r="J15" s="18"/>
      <c r="K15" s="18"/>
      <c r="L15" s="18"/>
      <c r="M15" s="18"/>
      <c r="N15" s="19"/>
      <c r="O15" s="19"/>
      <c r="P15" s="18"/>
    </row>
    <row r="16" spans="1:16" ht="15" thickBot="1" x14ac:dyDescent="0.4">
      <c r="A16" s="8" t="s">
        <v>49</v>
      </c>
      <c r="B16" s="9">
        <v>3</v>
      </c>
      <c r="C16" s="6"/>
      <c r="D16" s="10">
        <v>2814504</v>
      </c>
      <c r="E16" s="7">
        <v>3837960</v>
      </c>
      <c r="F16" s="7">
        <v>3454164</v>
      </c>
      <c r="G16" s="7">
        <v>10106628</v>
      </c>
      <c r="H16" s="18"/>
      <c r="I16" s="18"/>
      <c r="J16" s="18"/>
      <c r="K16" s="18"/>
      <c r="L16" s="18"/>
      <c r="M16" s="18"/>
      <c r="N16" s="19"/>
      <c r="O16" s="19"/>
      <c r="P16" s="18"/>
    </row>
    <row r="17" spans="1:16" ht="15" thickBot="1" x14ac:dyDescent="0.4">
      <c r="A17" s="8" t="s">
        <v>50</v>
      </c>
      <c r="B17" s="6"/>
      <c r="C17" s="6"/>
      <c r="D17" s="4"/>
      <c r="E17" s="4"/>
      <c r="F17" s="4"/>
      <c r="G17" s="7">
        <v>207914465</v>
      </c>
      <c r="H17" s="18"/>
      <c r="I17" s="18"/>
      <c r="J17" s="18"/>
      <c r="K17" s="18"/>
      <c r="L17" s="18"/>
      <c r="M17" s="18"/>
      <c r="N17" s="19"/>
      <c r="O17" s="19"/>
      <c r="P17" s="18"/>
    </row>
    <row r="18" spans="1:16" ht="15" thickBot="1" x14ac:dyDescent="0.4">
      <c r="A18" s="8"/>
      <c r="B18" s="6"/>
      <c r="C18" s="6"/>
      <c r="D18" s="4"/>
      <c r="E18" s="4"/>
      <c r="F18" s="21" t="s">
        <v>51</v>
      </c>
      <c r="G18" s="7">
        <v>339099683</v>
      </c>
      <c r="H18" s="18"/>
      <c r="I18" s="18"/>
      <c r="J18" s="18"/>
      <c r="K18" s="18"/>
      <c r="L18" s="18"/>
      <c r="M18" s="18"/>
      <c r="N18" s="19"/>
      <c r="O18" s="19"/>
      <c r="P18" s="18"/>
    </row>
    <row r="19" spans="1:16" ht="15" thickBot="1" x14ac:dyDescent="0.4">
      <c r="A19" s="18"/>
      <c r="B19" s="18"/>
      <c r="C19" s="19"/>
      <c r="D19" s="19"/>
      <c r="E19" s="19"/>
      <c r="F19" s="18"/>
      <c r="G19" s="18"/>
      <c r="H19" s="18"/>
      <c r="I19" s="18"/>
      <c r="J19" s="18"/>
      <c r="K19" s="18"/>
      <c r="L19" s="18"/>
      <c r="M19" s="18"/>
      <c r="N19" s="19"/>
      <c r="O19" s="19"/>
      <c r="P19" s="18"/>
    </row>
  </sheetData>
  <mergeCells count="1">
    <mergeCell ref="A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678D-405B-4F7D-9119-561E287338A4}">
  <dimension ref="A1:W44"/>
  <sheetViews>
    <sheetView workbookViewId="0">
      <selection activeCell="D47" sqref="D47"/>
    </sheetView>
  </sheetViews>
  <sheetFormatPr baseColWidth="10" defaultRowHeight="14.5" x14ac:dyDescent="0.35"/>
  <cols>
    <col min="2" max="2" width="18" customWidth="1"/>
    <col min="3" max="3" width="25.54296875" customWidth="1"/>
    <col min="6" max="6" width="11.453125" style="126"/>
    <col min="10" max="10" width="16" customWidth="1"/>
    <col min="20" max="20" width="17.54296875" customWidth="1"/>
    <col min="21" max="21" width="16.7265625" customWidth="1"/>
  </cols>
  <sheetData>
    <row r="1" spans="1:23" ht="15" thickBot="1" x14ac:dyDescent="0.4">
      <c r="A1" s="137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9"/>
      <c r="V1" s="26"/>
      <c r="W1" s="26"/>
    </row>
    <row r="2" spans="1:23" ht="33" thickBot="1" x14ac:dyDescent="0.4">
      <c r="A2" s="27" t="s">
        <v>54</v>
      </c>
      <c r="B2" s="28" t="s">
        <v>55</v>
      </c>
      <c r="C2" s="29" t="s">
        <v>56</v>
      </c>
      <c r="D2" s="29" t="s">
        <v>57</v>
      </c>
      <c r="E2" s="30" t="s">
        <v>58</v>
      </c>
      <c r="F2" s="29" t="s">
        <v>59</v>
      </c>
      <c r="G2" s="28" t="s">
        <v>60</v>
      </c>
      <c r="H2" s="29" t="s">
        <v>61</v>
      </c>
      <c r="I2" s="29" t="s">
        <v>62</v>
      </c>
      <c r="J2" s="28" t="s">
        <v>63</v>
      </c>
      <c r="K2" s="29" t="s">
        <v>64</v>
      </c>
      <c r="L2" s="31" t="s">
        <v>65</v>
      </c>
      <c r="M2" s="31" t="s">
        <v>66</v>
      </c>
      <c r="N2" s="31" t="s">
        <v>67</v>
      </c>
      <c r="O2" s="31" t="s">
        <v>68</v>
      </c>
      <c r="P2" s="32" t="s">
        <v>69</v>
      </c>
      <c r="Q2" s="31" t="s">
        <v>70</v>
      </c>
      <c r="R2" s="32" t="s">
        <v>71</v>
      </c>
      <c r="S2" s="32" t="s">
        <v>72</v>
      </c>
      <c r="T2" s="31" t="s">
        <v>73</v>
      </c>
      <c r="U2" s="31" t="s">
        <v>74</v>
      </c>
      <c r="V2" s="26"/>
      <c r="W2" s="26"/>
    </row>
    <row r="3" spans="1:23" ht="27" customHeight="1" thickBot="1" x14ac:dyDescent="0.4">
      <c r="A3" s="33">
        <v>1</v>
      </c>
      <c r="B3" s="35" t="s">
        <v>75</v>
      </c>
      <c r="C3" s="35" t="s">
        <v>76</v>
      </c>
      <c r="D3" s="36">
        <v>45756</v>
      </c>
      <c r="E3" s="38">
        <v>1</v>
      </c>
      <c r="F3" s="38">
        <v>2025</v>
      </c>
      <c r="G3" s="38" t="s">
        <v>77</v>
      </c>
      <c r="H3" s="38" t="s">
        <v>77</v>
      </c>
      <c r="I3" s="38" t="s">
        <v>77</v>
      </c>
      <c r="J3" s="38" t="s">
        <v>78</v>
      </c>
      <c r="K3" s="36">
        <v>45800</v>
      </c>
      <c r="L3" s="36">
        <v>45896</v>
      </c>
      <c r="M3" s="38" t="s">
        <v>79</v>
      </c>
      <c r="N3" s="38" t="s">
        <v>79</v>
      </c>
      <c r="O3" s="38" t="s">
        <v>79</v>
      </c>
      <c r="P3" s="38" t="s">
        <v>17</v>
      </c>
      <c r="Q3" s="38" t="s">
        <v>79</v>
      </c>
      <c r="R3" s="38" t="s">
        <v>79</v>
      </c>
      <c r="S3" s="34"/>
      <c r="T3" s="124">
        <v>6000000</v>
      </c>
      <c r="U3" s="34" t="s">
        <v>238</v>
      </c>
      <c r="V3" s="26"/>
      <c r="W3" s="26"/>
    </row>
    <row r="4" spans="1:23" ht="29.25" customHeight="1" thickBot="1" x14ac:dyDescent="0.4">
      <c r="A4" s="33">
        <v>2</v>
      </c>
      <c r="B4" s="35" t="s">
        <v>80</v>
      </c>
      <c r="C4" s="35" t="s">
        <v>81</v>
      </c>
      <c r="D4" s="36">
        <v>45772</v>
      </c>
      <c r="E4" s="38">
        <v>4</v>
      </c>
      <c r="F4" s="37">
        <v>2024</v>
      </c>
      <c r="G4" s="38" t="s">
        <v>77</v>
      </c>
      <c r="H4" s="38" t="s">
        <v>77</v>
      </c>
      <c r="I4" s="38" t="s">
        <v>77</v>
      </c>
      <c r="J4" s="38" t="s">
        <v>78</v>
      </c>
      <c r="K4" s="36">
        <v>45824</v>
      </c>
      <c r="L4" s="36">
        <v>45895</v>
      </c>
      <c r="M4" s="38" t="s">
        <v>79</v>
      </c>
      <c r="N4" s="38" t="s">
        <v>79</v>
      </c>
      <c r="O4" s="38" t="s">
        <v>79</v>
      </c>
      <c r="P4" s="34"/>
      <c r="Q4" s="38" t="s">
        <v>79</v>
      </c>
      <c r="R4" s="38" t="s">
        <v>79</v>
      </c>
      <c r="S4" s="34"/>
      <c r="T4" s="38" t="s">
        <v>82</v>
      </c>
      <c r="U4" s="127">
        <v>13740903</v>
      </c>
      <c r="V4" s="26" t="s">
        <v>247</v>
      </c>
      <c r="W4" s="26"/>
    </row>
    <row r="5" spans="1:23" ht="21" customHeight="1" thickBot="1" x14ac:dyDescent="0.4">
      <c r="A5" s="33">
        <v>3</v>
      </c>
      <c r="B5" s="35" t="s">
        <v>83</v>
      </c>
      <c r="C5" s="35" t="s">
        <v>84</v>
      </c>
      <c r="D5" s="36">
        <v>45785</v>
      </c>
      <c r="E5" s="38">
        <v>6</v>
      </c>
      <c r="F5" s="37">
        <v>2024</v>
      </c>
      <c r="G5" s="38" t="s">
        <v>77</v>
      </c>
      <c r="H5" s="38" t="s">
        <v>77</v>
      </c>
      <c r="I5" s="38" t="s">
        <v>77</v>
      </c>
      <c r="J5" s="38" t="s">
        <v>78</v>
      </c>
      <c r="K5" s="36">
        <v>45825</v>
      </c>
      <c r="L5" s="36">
        <v>45848</v>
      </c>
      <c r="M5" s="38" t="s">
        <v>79</v>
      </c>
      <c r="N5" s="38" t="s">
        <v>79</v>
      </c>
      <c r="O5" s="38" t="s">
        <v>79</v>
      </c>
      <c r="P5" s="34"/>
      <c r="Q5" s="38" t="s">
        <v>79</v>
      </c>
      <c r="R5" s="38" t="s">
        <v>79</v>
      </c>
      <c r="S5" s="34"/>
      <c r="T5" s="38" t="s">
        <v>85</v>
      </c>
      <c r="U5" s="34"/>
      <c r="V5" s="26"/>
      <c r="W5" s="26"/>
    </row>
    <row r="6" spans="1:23" ht="19.5" customHeight="1" thickBot="1" x14ac:dyDescent="0.4">
      <c r="A6" s="33">
        <v>4</v>
      </c>
      <c r="B6" s="35" t="s">
        <v>86</v>
      </c>
      <c r="C6" s="35" t="s">
        <v>84</v>
      </c>
      <c r="D6" s="36">
        <v>45786</v>
      </c>
      <c r="E6" s="38">
        <v>5</v>
      </c>
      <c r="F6" s="37">
        <v>2025</v>
      </c>
      <c r="G6" s="38" t="s">
        <v>77</v>
      </c>
      <c r="H6" s="38" t="s">
        <v>77</v>
      </c>
      <c r="I6" s="38" t="s">
        <v>77</v>
      </c>
      <c r="J6" s="38" t="s">
        <v>78</v>
      </c>
      <c r="K6" s="36">
        <v>45821</v>
      </c>
      <c r="L6" s="36">
        <v>45882</v>
      </c>
      <c r="M6" s="38" t="s">
        <v>79</v>
      </c>
      <c r="N6" s="38" t="s">
        <v>79</v>
      </c>
      <c r="O6" s="38" t="s">
        <v>79</v>
      </c>
      <c r="P6" s="34"/>
      <c r="Q6" s="38" t="s">
        <v>79</v>
      </c>
      <c r="R6" s="38" t="s">
        <v>79</v>
      </c>
      <c r="S6" s="34"/>
      <c r="T6" s="38" t="s">
        <v>87</v>
      </c>
      <c r="U6" s="34"/>
      <c r="V6" s="26"/>
      <c r="W6" s="26"/>
    </row>
    <row r="7" spans="1:23" ht="29.25" customHeight="1" thickBot="1" x14ac:dyDescent="0.4">
      <c r="A7" s="33">
        <v>5</v>
      </c>
      <c r="B7" s="35" t="s">
        <v>88</v>
      </c>
      <c r="C7" s="35" t="s">
        <v>89</v>
      </c>
      <c r="D7" s="36">
        <v>45792</v>
      </c>
      <c r="E7" s="38">
        <v>8</v>
      </c>
      <c r="F7" s="37">
        <v>2024</v>
      </c>
      <c r="G7" s="38" t="s">
        <v>77</v>
      </c>
      <c r="H7" s="38" t="s">
        <v>77</v>
      </c>
      <c r="I7" s="38" t="s">
        <v>79</v>
      </c>
      <c r="J7" s="38" t="s">
        <v>78</v>
      </c>
      <c r="K7" s="36">
        <v>45862</v>
      </c>
      <c r="L7" s="36">
        <v>45924</v>
      </c>
      <c r="M7" s="38" t="s">
        <v>79</v>
      </c>
      <c r="N7" s="38" t="s">
        <v>79</v>
      </c>
      <c r="O7" s="38" t="s">
        <v>79</v>
      </c>
      <c r="P7" s="34"/>
      <c r="Q7" s="38" t="s">
        <v>79</v>
      </c>
      <c r="R7" s="34"/>
      <c r="S7" s="34"/>
      <c r="T7" s="38" t="s">
        <v>85</v>
      </c>
      <c r="U7" s="34"/>
      <c r="V7" s="26"/>
      <c r="W7" s="26"/>
    </row>
    <row r="8" spans="1:23" ht="18" customHeight="1" thickBot="1" x14ac:dyDescent="0.4">
      <c r="A8" s="33"/>
      <c r="B8" s="35" t="s">
        <v>90</v>
      </c>
      <c r="C8" s="35" t="s">
        <v>91</v>
      </c>
      <c r="D8" s="36">
        <v>45792</v>
      </c>
      <c r="E8" s="38">
        <v>7</v>
      </c>
      <c r="F8" s="37">
        <v>2024</v>
      </c>
      <c r="G8" s="38" t="s">
        <v>77</v>
      </c>
      <c r="H8" s="38" t="s">
        <v>77</v>
      </c>
      <c r="I8" s="38" t="s">
        <v>77</v>
      </c>
      <c r="J8" s="38" t="s">
        <v>78</v>
      </c>
      <c r="K8" s="36">
        <v>45947</v>
      </c>
      <c r="L8" s="36">
        <v>46008</v>
      </c>
      <c r="M8" s="38" t="s">
        <v>79</v>
      </c>
      <c r="N8" s="38" t="s">
        <v>79</v>
      </c>
      <c r="O8" s="38" t="s">
        <v>79</v>
      </c>
      <c r="P8" s="34"/>
      <c r="Q8" s="38" t="s">
        <v>79</v>
      </c>
      <c r="R8" s="34"/>
      <c r="S8" s="34"/>
      <c r="T8" s="38" t="s">
        <v>85</v>
      </c>
      <c r="U8" s="34"/>
      <c r="V8" s="26"/>
      <c r="W8" s="26"/>
    </row>
    <row r="9" spans="1:23" ht="27.75" customHeight="1" thickBot="1" x14ac:dyDescent="0.4">
      <c r="A9" s="33">
        <v>7</v>
      </c>
      <c r="B9" s="35" t="s">
        <v>92</v>
      </c>
      <c r="C9" s="35" t="s">
        <v>93</v>
      </c>
      <c r="D9" s="36">
        <v>45793</v>
      </c>
      <c r="E9" s="38">
        <v>10</v>
      </c>
      <c r="F9" s="37">
        <v>2024</v>
      </c>
      <c r="G9" s="38" t="s">
        <v>77</v>
      </c>
      <c r="H9" s="38" t="s">
        <v>79</v>
      </c>
      <c r="I9" s="38" t="s">
        <v>79</v>
      </c>
      <c r="J9" s="38" t="s">
        <v>78</v>
      </c>
      <c r="K9" s="36">
        <v>45880</v>
      </c>
      <c r="L9" s="36">
        <v>45941</v>
      </c>
      <c r="M9" s="38" t="s">
        <v>79</v>
      </c>
      <c r="N9" s="38" t="s">
        <v>79</v>
      </c>
      <c r="O9" s="38" t="s">
        <v>79</v>
      </c>
      <c r="P9" s="34"/>
      <c r="Q9" s="38" t="s">
        <v>79</v>
      </c>
      <c r="R9" s="34"/>
      <c r="S9" s="34"/>
      <c r="T9" s="38" t="s">
        <v>94</v>
      </c>
      <c r="U9" s="34"/>
      <c r="V9" s="26"/>
      <c r="W9" s="26"/>
    </row>
    <row r="10" spans="1:23" ht="30.75" customHeight="1" thickBot="1" x14ac:dyDescent="0.4">
      <c r="A10" s="33">
        <v>8</v>
      </c>
      <c r="B10" s="35" t="s">
        <v>95</v>
      </c>
      <c r="C10" s="35" t="s">
        <v>81</v>
      </c>
      <c r="D10" s="36">
        <v>45793</v>
      </c>
      <c r="E10" s="38">
        <v>11</v>
      </c>
      <c r="F10" s="37">
        <v>2024</v>
      </c>
      <c r="G10" s="38" t="s">
        <v>77</v>
      </c>
      <c r="H10" s="38" t="s">
        <v>77</v>
      </c>
      <c r="I10" s="38" t="s">
        <v>79</v>
      </c>
      <c r="J10" s="38" t="s">
        <v>78</v>
      </c>
      <c r="K10" s="36">
        <v>45873</v>
      </c>
      <c r="L10" s="36">
        <v>45934</v>
      </c>
      <c r="M10" s="38" t="s">
        <v>79</v>
      </c>
      <c r="N10" s="38" t="s">
        <v>79</v>
      </c>
      <c r="O10" s="38" t="s">
        <v>79</v>
      </c>
      <c r="P10" s="34"/>
      <c r="Q10" s="38" t="s">
        <v>79</v>
      </c>
      <c r="R10" s="34"/>
      <c r="S10" s="34"/>
      <c r="T10" s="38" t="s">
        <v>96</v>
      </c>
      <c r="U10" s="34"/>
      <c r="V10" s="26"/>
      <c r="W10" s="26"/>
    </row>
    <row r="11" spans="1:23" ht="78.75" customHeight="1" thickBot="1" x14ac:dyDescent="0.4">
      <c r="A11" s="39">
        <v>9</v>
      </c>
      <c r="B11" s="40" t="s">
        <v>97</v>
      </c>
      <c r="C11" s="41" t="s">
        <v>98</v>
      </c>
      <c r="D11" s="42">
        <v>45793</v>
      </c>
      <c r="E11" s="44">
        <v>9</v>
      </c>
      <c r="F11" s="37">
        <v>2024</v>
      </c>
      <c r="G11" s="44" t="s">
        <v>77</v>
      </c>
      <c r="H11" s="44" t="s">
        <v>79</v>
      </c>
      <c r="I11" s="44" t="s">
        <v>79</v>
      </c>
      <c r="J11" s="44" t="s">
        <v>99</v>
      </c>
      <c r="K11" s="42">
        <v>45897</v>
      </c>
      <c r="L11" s="42">
        <v>46019</v>
      </c>
      <c r="M11" s="44" t="s">
        <v>79</v>
      </c>
      <c r="N11" s="44" t="s">
        <v>79</v>
      </c>
      <c r="O11" s="3"/>
      <c r="P11" s="3"/>
      <c r="Q11" s="3"/>
      <c r="R11" s="3"/>
      <c r="S11" s="3"/>
      <c r="T11" s="44" t="s">
        <v>100</v>
      </c>
      <c r="U11" s="3"/>
      <c r="V11" s="26"/>
      <c r="W11" s="26"/>
    </row>
    <row r="12" spans="1:23" ht="30.75" customHeight="1" thickBot="1" x14ac:dyDescent="0.4">
      <c r="A12" s="33">
        <v>10</v>
      </c>
      <c r="B12" s="35" t="s">
        <v>101</v>
      </c>
      <c r="C12" s="35" t="s">
        <v>81</v>
      </c>
      <c r="D12" s="36">
        <v>45797</v>
      </c>
      <c r="E12" s="38">
        <v>12</v>
      </c>
      <c r="F12" s="37">
        <v>2024</v>
      </c>
      <c r="G12" s="38" t="s">
        <v>77</v>
      </c>
      <c r="H12" s="38" t="s">
        <v>77</v>
      </c>
      <c r="I12" s="38" t="s">
        <v>77</v>
      </c>
      <c r="J12" s="38" t="s">
        <v>78</v>
      </c>
      <c r="K12" s="36">
        <v>45859</v>
      </c>
      <c r="L12" s="36">
        <v>45921</v>
      </c>
      <c r="M12" s="38" t="s">
        <v>79</v>
      </c>
      <c r="N12" s="38" t="s">
        <v>79</v>
      </c>
      <c r="O12" s="38" t="s">
        <v>79</v>
      </c>
      <c r="P12" s="34"/>
      <c r="Q12" s="38" t="s">
        <v>79</v>
      </c>
      <c r="R12" s="34"/>
      <c r="S12" s="34"/>
      <c r="T12" s="38" t="s">
        <v>102</v>
      </c>
      <c r="U12" s="127">
        <v>4000000</v>
      </c>
      <c r="V12" s="26" t="s">
        <v>238</v>
      </c>
      <c r="W12" s="26"/>
    </row>
    <row r="13" spans="1:23" ht="30.75" customHeight="1" thickBot="1" x14ac:dyDescent="0.4">
      <c r="A13" s="33">
        <v>11</v>
      </c>
      <c r="B13" s="35" t="s">
        <v>103</v>
      </c>
      <c r="C13" s="35" t="s">
        <v>81</v>
      </c>
      <c r="D13" s="36">
        <v>45798</v>
      </c>
      <c r="E13" s="38">
        <v>13</v>
      </c>
      <c r="F13" s="37">
        <v>2024</v>
      </c>
      <c r="G13" s="38" t="s">
        <v>77</v>
      </c>
      <c r="H13" s="38" t="s">
        <v>77</v>
      </c>
      <c r="I13" s="38" t="s">
        <v>79</v>
      </c>
      <c r="J13" s="38" t="s">
        <v>78</v>
      </c>
      <c r="K13" s="36">
        <v>45859</v>
      </c>
      <c r="L13" s="36">
        <v>45921</v>
      </c>
      <c r="M13" s="38" t="s">
        <v>79</v>
      </c>
      <c r="N13" s="38" t="s">
        <v>79</v>
      </c>
      <c r="O13" s="38" t="s">
        <v>79</v>
      </c>
      <c r="P13" s="34"/>
      <c r="Q13" s="38" t="s">
        <v>79</v>
      </c>
      <c r="R13" s="34"/>
      <c r="S13" s="34"/>
      <c r="T13" s="38" t="s">
        <v>104</v>
      </c>
      <c r="U13" s="34"/>
      <c r="V13" s="26"/>
      <c r="W13" s="26"/>
    </row>
    <row r="14" spans="1:23" ht="27.75" customHeight="1" thickBot="1" x14ac:dyDescent="0.4">
      <c r="A14" s="33">
        <v>12</v>
      </c>
      <c r="B14" s="35" t="s">
        <v>105</v>
      </c>
      <c r="C14" s="35" t="s">
        <v>106</v>
      </c>
      <c r="D14" s="36">
        <v>45804</v>
      </c>
      <c r="E14" s="38">
        <v>14</v>
      </c>
      <c r="F14" s="37">
        <v>2024</v>
      </c>
      <c r="G14" s="38" t="s">
        <v>77</v>
      </c>
      <c r="H14" s="38" t="s">
        <v>79</v>
      </c>
      <c r="I14" s="38" t="s">
        <v>79</v>
      </c>
      <c r="J14" s="38" t="s">
        <v>78</v>
      </c>
      <c r="K14" s="36">
        <v>45873</v>
      </c>
      <c r="L14" s="36">
        <v>45934</v>
      </c>
      <c r="M14" s="38" t="s">
        <v>79</v>
      </c>
      <c r="N14" s="38" t="s">
        <v>79</v>
      </c>
      <c r="O14" s="38" t="s">
        <v>79</v>
      </c>
      <c r="P14" s="34"/>
      <c r="Q14" s="38" t="s">
        <v>79</v>
      </c>
      <c r="R14" s="34"/>
      <c r="S14" s="34"/>
      <c r="T14" s="38" t="s">
        <v>85</v>
      </c>
      <c r="U14" s="34"/>
      <c r="V14" s="26"/>
      <c r="W14" s="26"/>
    </row>
    <row r="15" spans="1:23" ht="30" customHeight="1" thickBot="1" x14ac:dyDescent="0.4">
      <c r="A15" s="33">
        <v>13</v>
      </c>
      <c r="B15" s="35" t="s">
        <v>107</v>
      </c>
      <c r="C15" s="35" t="s">
        <v>108</v>
      </c>
      <c r="D15" s="36">
        <v>45804</v>
      </c>
      <c r="E15" s="38">
        <v>15</v>
      </c>
      <c r="F15" s="37">
        <v>2024</v>
      </c>
      <c r="G15" s="38" t="s">
        <v>77</v>
      </c>
      <c r="H15" s="38" t="s">
        <v>79</v>
      </c>
      <c r="I15" s="38" t="s">
        <v>79</v>
      </c>
      <c r="J15" s="38" t="s">
        <v>78</v>
      </c>
      <c r="K15" s="36">
        <v>45915</v>
      </c>
      <c r="L15" s="36">
        <v>45945</v>
      </c>
      <c r="M15" s="38" t="s">
        <v>79</v>
      </c>
      <c r="N15" s="38" t="s">
        <v>79</v>
      </c>
      <c r="O15" s="38" t="s">
        <v>79</v>
      </c>
      <c r="P15" s="34"/>
      <c r="Q15" s="38" t="s">
        <v>79</v>
      </c>
      <c r="R15" s="34"/>
      <c r="S15" s="34"/>
      <c r="T15" s="38" t="s">
        <v>109</v>
      </c>
      <c r="U15" s="127">
        <v>10000000</v>
      </c>
      <c r="V15" s="26" t="s">
        <v>247</v>
      </c>
      <c r="W15" s="26"/>
    </row>
    <row r="16" spans="1:23" ht="30.75" customHeight="1" thickBot="1" x14ac:dyDescent="0.4">
      <c r="A16" s="33">
        <v>14</v>
      </c>
      <c r="B16" s="35" t="s">
        <v>110</v>
      </c>
      <c r="C16" s="35" t="s">
        <v>81</v>
      </c>
      <c r="D16" s="36">
        <v>45813</v>
      </c>
      <c r="E16" s="38">
        <v>17</v>
      </c>
      <c r="F16" s="37">
        <v>2024</v>
      </c>
      <c r="G16" s="38" t="s">
        <v>77</v>
      </c>
      <c r="H16" s="38" t="s">
        <v>79</v>
      </c>
      <c r="I16" s="38" t="s">
        <v>79</v>
      </c>
      <c r="J16" s="38" t="s">
        <v>78</v>
      </c>
      <c r="K16" s="36">
        <v>45901</v>
      </c>
      <c r="L16" s="36">
        <v>45962</v>
      </c>
      <c r="M16" s="38" t="s">
        <v>79</v>
      </c>
      <c r="N16" s="38" t="s">
        <v>79</v>
      </c>
      <c r="O16" s="38" t="s">
        <v>79</v>
      </c>
      <c r="P16" s="34"/>
      <c r="Q16" s="38" t="s">
        <v>79</v>
      </c>
      <c r="R16" s="34"/>
      <c r="S16" s="34"/>
      <c r="T16" s="38" t="s">
        <v>85</v>
      </c>
      <c r="U16" s="34"/>
      <c r="V16" s="26"/>
      <c r="W16" s="26"/>
    </row>
    <row r="17" spans="1:23" ht="21" customHeight="1" thickBot="1" x14ac:dyDescent="0.4">
      <c r="A17" s="33">
        <v>15</v>
      </c>
      <c r="B17" s="35" t="s">
        <v>111</v>
      </c>
      <c r="C17" s="35" t="s">
        <v>112</v>
      </c>
      <c r="D17" s="36">
        <v>45814</v>
      </c>
      <c r="E17" s="38">
        <v>36</v>
      </c>
      <c r="F17" s="37">
        <v>2024</v>
      </c>
      <c r="G17" s="38" t="s">
        <v>79</v>
      </c>
      <c r="H17" s="38" t="s">
        <v>77</v>
      </c>
      <c r="I17" s="38" t="s">
        <v>77</v>
      </c>
      <c r="J17" s="38" t="s">
        <v>78</v>
      </c>
      <c r="K17" s="36">
        <v>45971</v>
      </c>
      <c r="L17" s="36">
        <v>46001</v>
      </c>
      <c r="M17" s="38" t="s">
        <v>79</v>
      </c>
      <c r="N17" s="38" t="s">
        <v>79</v>
      </c>
      <c r="O17" s="38" t="s">
        <v>79</v>
      </c>
      <c r="P17" s="34"/>
      <c r="Q17" s="38" t="s">
        <v>79</v>
      </c>
      <c r="R17" s="34"/>
      <c r="S17" s="34"/>
      <c r="T17" s="38" t="s">
        <v>96</v>
      </c>
      <c r="U17" s="34"/>
      <c r="V17" s="26"/>
      <c r="W17" s="26"/>
    </row>
    <row r="18" spans="1:23" ht="30" customHeight="1" thickBot="1" x14ac:dyDescent="0.4">
      <c r="A18" s="33">
        <v>16</v>
      </c>
      <c r="B18" s="35" t="s">
        <v>113</v>
      </c>
      <c r="C18" s="35" t="s">
        <v>114</v>
      </c>
      <c r="D18" s="36">
        <v>45824</v>
      </c>
      <c r="E18" s="38">
        <v>19</v>
      </c>
      <c r="F18" s="37">
        <v>2024</v>
      </c>
      <c r="G18" s="38">
        <v>12</v>
      </c>
      <c r="H18" s="38" t="s">
        <v>77</v>
      </c>
      <c r="I18" s="38" t="s">
        <v>77</v>
      </c>
      <c r="J18" s="38" t="s">
        <v>78</v>
      </c>
      <c r="K18" s="36">
        <v>45931</v>
      </c>
      <c r="L18" s="36">
        <v>46021</v>
      </c>
      <c r="M18" s="38" t="s">
        <v>79</v>
      </c>
      <c r="N18" s="38" t="s">
        <v>77</v>
      </c>
      <c r="O18" s="38" t="s">
        <v>79</v>
      </c>
      <c r="P18" s="34"/>
      <c r="Q18" s="34"/>
      <c r="R18" s="34"/>
      <c r="S18" s="34"/>
      <c r="T18" s="38" t="s">
        <v>85</v>
      </c>
      <c r="U18" s="34"/>
      <c r="V18" s="26"/>
      <c r="W18" s="26"/>
    </row>
    <row r="19" spans="1:23" ht="31.5" customHeight="1" thickBot="1" x14ac:dyDescent="0.4">
      <c r="A19" s="39">
        <v>17</v>
      </c>
      <c r="B19" s="4" t="s">
        <v>115</v>
      </c>
      <c r="C19" s="4" t="s">
        <v>116</v>
      </c>
      <c r="D19" s="42">
        <v>45842</v>
      </c>
      <c r="E19" s="44">
        <v>20</v>
      </c>
      <c r="F19" s="37">
        <v>2024</v>
      </c>
      <c r="G19" s="44">
        <v>2</v>
      </c>
      <c r="H19" s="44" t="s">
        <v>77</v>
      </c>
      <c r="I19" s="44" t="s">
        <v>77</v>
      </c>
      <c r="J19" s="44" t="s">
        <v>74</v>
      </c>
      <c r="K19" s="42">
        <v>45929</v>
      </c>
      <c r="L19" s="42">
        <v>45990</v>
      </c>
      <c r="M19" s="44" t="s">
        <v>79</v>
      </c>
      <c r="N19" s="44" t="s">
        <v>79</v>
      </c>
      <c r="O19" s="3"/>
      <c r="P19" s="44" t="s">
        <v>77</v>
      </c>
      <c r="Q19" s="3"/>
      <c r="R19" s="3"/>
      <c r="S19" s="3"/>
      <c r="T19" s="44" t="s">
        <v>117</v>
      </c>
      <c r="U19" s="3"/>
      <c r="V19" s="26"/>
      <c r="W19" s="26"/>
    </row>
    <row r="20" spans="1:23" ht="30" customHeight="1" thickBot="1" x14ac:dyDescent="0.4">
      <c r="A20" s="33">
        <v>18</v>
      </c>
      <c r="B20" s="35" t="s">
        <v>118</v>
      </c>
      <c r="C20" s="35" t="s">
        <v>81</v>
      </c>
      <c r="D20" s="36">
        <v>45845</v>
      </c>
      <c r="E20" s="38">
        <v>21</v>
      </c>
      <c r="F20" s="37">
        <v>2024</v>
      </c>
      <c r="G20" s="38">
        <v>2</v>
      </c>
      <c r="H20" s="38" t="s">
        <v>77</v>
      </c>
      <c r="I20" s="38" t="s">
        <v>77</v>
      </c>
      <c r="J20" s="38" t="s">
        <v>78</v>
      </c>
      <c r="K20" s="36">
        <v>45929</v>
      </c>
      <c r="L20" s="36">
        <v>45990</v>
      </c>
      <c r="M20" s="38" t="s">
        <v>79</v>
      </c>
      <c r="N20" s="38" t="s">
        <v>79</v>
      </c>
      <c r="O20" s="38" t="s">
        <v>79</v>
      </c>
      <c r="P20" s="34"/>
      <c r="Q20" s="38" t="s">
        <v>79</v>
      </c>
      <c r="R20" s="34"/>
      <c r="S20" s="34"/>
      <c r="T20" s="38" t="s">
        <v>96</v>
      </c>
      <c r="U20" s="34"/>
      <c r="V20" s="26"/>
      <c r="W20" s="26"/>
    </row>
    <row r="21" spans="1:23" ht="16.5" customHeight="1" thickBot="1" x14ac:dyDescent="0.4">
      <c r="A21" s="33">
        <v>19</v>
      </c>
      <c r="B21" s="35" t="s">
        <v>119</v>
      </c>
      <c r="C21" s="35" t="s">
        <v>84</v>
      </c>
      <c r="D21" s="36">
        <v>45852</v>
      </c>
      <c r="E21" s="38">
        <v>16</v>
      </c>
      <c r="F21" s="37" t="s">
        <v>238</v>
      </c>
      <c r="G21" s="38" t="s">
        <v>79</v>
      </c>
      <c r="H21" s="38" t="s">
        <v>79</v>
      </c>
      <c r="I21" s="38" t="s">
        <v>79</v>
      </c>
      <c r="J21" s="38" t="s">
        <v>78</v>
      </c>
      <c r="K21" s="36">
        <v>45877</v>
      </c>
      <c r="L21" s="36">
        <v>45908</v>
      </c>
      <c r="M21" s="38" t="s">
        <v>79</v>
      </c>
      <c r="N21" s="38" t="s">
        <v>79</v>
      </c>
      <c r="O21" s="38" t="s">
        <v>17</v>
      </c>
      <c r="P21" s="34"/>
      <c r="Q21" s="38" t="s">
        <v>79</v>
      </c>
      <c r="R21" s="38" t="s">
        <v>79</v>
      </c>
      <c r="S21" s="34"/>
      <c r="T21" s="38" t="s">
        <v>120</v>
      </c>
      <c r="U21" s="34" t="s">
        <v>238</v>
      </c>
      <c r="V21" s="26"/>
      <c r="W21" s="26"/>
    </row>
    <row r="22" spans="1:23" ht="32.25" customHeight="1" thickBot="1" x14ac:dyDescent="0.4">
      <c r="A22" s="33">
        <v>20</v>
      </c>
      <c r="B22" s="45" t="s">
        <v>121</v>
      </c>
      <c r="C22" s="35" t="s">
        <v>122</v>
      </c>
      <c r="D22" s="36">
        <v>45852</v>
      </c>
      <c r="E22" s="38">
        <v>22</v>
      </c>
      <c r="F22" s="37" t="s">
        <v>238</v>
      </c>
      <c r="G22" s="38" t="s">
        <v>77</v>
      </c>
      <c r="H22" s="38" t="s">
        <v>77</v>
      </c>
      <c r="I22" s="38" t="s">
        <v>77</v>
      </c>
      <c r="J22" s="38" t="s">
        <v>78</v>
      </c>
      <c r="K22" s="36">
        <v>45931</v>
      </c>
      <c r="L22" s="36">
        <v>45962</v>
      </c>
      <c r="M22" s="38" t="s">
        <v>79</v>
      </c>
      <c r="N22" s="38" t="s">
        <v>79</v>
      </c>
      <c r="O22" s="38" t="s">
        <v>17</v>
      </c>
      <c r="P22" s="34"/>
      <c r="Q22" s="38" t="s">
        <v>79</v>
      </c>
      <c r="R22" s="34"/>
      <c r="S22" s="34"/>
      <c r="T22" s="38" t="s">
        <v>123</v>
      </c>
      <c r="U22" s="34" t="s">
        <v>238</v>
      </c>
      <c r="V22" s="26"/>
      <c r="W22" s="26"/>
    </row>
    <row r="23" spans="1:23" ht="29.25" customHeight="1" thickBot="1" x14ac:dyDescent="0.4">
      <c r="A23" s="33">
        <v>21</v>
      </c>
      <c r="B23" s="35" t="s">
        <v>124</v>
      </c>
      <c r="C23" s="35" t="s">
        <v>81</v>
      </c>
      <c r="D23" s="36">
        <v>45853</v>
      </c>
      <c r="E23" s="38">
        <v>23</v>
      </c>
      <c r="F23" s="37">
        <v>2024</v>
      </c>
      <c r="G23" s="38" t="s">
        <v>77</v>
      </c>
      <c r="H23" s="38" t="s">
        <v>77</v>
      </c>
      <c r="I23" s="38" t="s">
        <v>77</v>
      </c>
      <c r="J23" s="38" t="s">
        <v>78</v>
      </c>
      <c r="K23" s="36">
        <v>45931</v>
      </c>
      <c r="L23" s="36">
        <v>45992</v>
      </c>
      <c r="M23" s="38" t="s">
        <v>79</v>
      </c>
      <c r="N23" s="38" t="s">
        <v>79</v>
      </c>
      <c r="O23" s="38" t="s">
        <v>77</v>
      </c>
      <c r="P23" s="34"/>
      <c r="Q23" s="34"/>
      <c r="R23" s="34"/>
      <c r="S23" s="34"/>
      <c r="T23" s="38" t="s">
        <v>85</v>
      </c>
      <c r="U23" s="34"/>
      <c r="V23" s="26"/>
      <c r="W23" s="26"/>
    </row>
    <row r="24" spans="1:23" ht="47.25" customHeight="1" thickBot="1" x14ac:dyDescent="0.4">
      <c r="A24" s="33">
        <v>22</v>
      </c>
      <c r="B24" s="35" t="s">
        <v>125</v>
      </c>
      <c r="C24" s="35" t="s">
        <v>126</v>
      </c>
      <c r="D24" s="36">
        <v>45853</v>
      </c>
      <c r="E24" s="38">
        <v>24</v>
      </c>
      <c r="F24" s="37">
        <v>2024</v>
      </c>
      <c r="G24" s="38" t="s">
        <v>77</v>
      </c>
      <c r="H24" s="38" t="s">
        <v>77</v>
      </c>
      <c r="I24" s="38" t="s">
        <v>77</v>
      </c>
      <c r="J24" s="38" t="s">
        <v>78</v>
      </c>
      <c r="K24" s="36">
        <v>45951</v>
      </c>
      <c r="L24" s="36">
        <v>46012</v>
      </c>
      <c r="M24" s="38" t="s">
        <v>79</v>
      </c>
      <c r="N24" s="38" t="s">
        <v>79</v>
      </c>
      <c r="O24" s="38" t="s">
        <v>79</v>
      </c>
      <c r="P24" s="34"/>
      <c r="Q24" s="34"/>
      <c r="R24" s="34"/>
      <c r="S24" s="34"/>
      <c r="T24" s="38" t="s">
        <v>96</v>
      </c>
      <c r="U24" s="34"/>
      <c r="V24" s="26"/>
      <c r="W24" s="26"/>
    </row>
    <row r="25" spans="1:23" ht="27.75" customHeight="1" thickBot="1" x14ac:dyDescent="0.4">
      <c r="A25" s="33">
        <v>23</v>
      </c>
      <c r="B25" s="35" t="s">
        <v>127</v>
      </c>
      <c r="C25" s="35" t="s">
        <v>128</v>
      </c>
      <c r="D25" s="36">
        <v>45855</v>
      </c>
      <c r="E25" s="38">
        <v>25</v>
      </c>
      <c r="F25" s="37">
        <v>2024</v>
      </c>
      <c r="G25" s="38" t="s">
        <v>77</v>
      </c>
      <c r="H25" s="38" t="s">
        <v>77</v>
      </c>
      <c r="I25" s="38" t="s">
        <v>77</v>
      </c>
      <c r="J25" s="38" t="s">
        <v>78</v>
      </c>
      <c r="K25" s="36">
        <v>45929</v>
      </c>
      <c r="L25" s="36">
        <v>45959</v>
      </c>
      <c r="M25" s="38" t="s">
        <v>79</v>
      </c>
      <c r="N25" s="38" t="s">
        <v>79</v>
      </c>
      <c r="O25" s="38" t="s">
        <v>79</v>
      </c>
      <c r="P25" s="34"/>
      <c r="Q25" s="38" t="s">
        <v>79</v>
      </c>
      <c r="R25" s="34"/>
      <c r="S25" s="34"/>
      <c r="T25" s="46" t="s">
        <v>129</v>
      </c>
      <c r="U25" s="34"/>
      <c r="V25" s="26"/>
      <c r="W25" s="26"/>
    </row>
    <row r="26" spans="1:23" ht="29.25" customHeight="1" thickBot="1" x14ac:dyDescent="0.4">
      <c r="A26" s="39">
        <v>24</v>
      </c>
      <c r="B26" s="4" t="s">
        <v>130</v>
      </c>
      <c r="C26" s="4" t="s">
        <v>116</v>
      </c>
      <c r="D26" s="42">
        <v>45855</v>
      </c>
      <c r="E26" s="44">
        <v>35</v>
      </c>
      <c r="F26" s="37">
        <v>2024</v>
      </c>
      <c r="G26" s="44" t="s">
        <v>77</v>
      </c>
      <c r="H26" s="44" t="s">
        <v>77</v>
      </c>
      <c r="I26" s="44" t="s">
        <v>77</v>
      </c>
      <c r="J26" s="44" t="s">
        <v>131</v>
      </c>
      <c r="K26" s="42">
        <v>45980</v>
      </c>
      <c r="L26" s="42">
        <v>46107</v>
      </c>
      <c r="M26" s="44" t="s">
        <v>79</v>
      </c>
      <c r="N26" s="3"/>
      <c r="O26" s="3"/>
      <c r="P26" s="3"/>
      <c r="Q26" s="3"/>
      <c r="R26" s="3"/>
      <c r="S26" s="3"/>
      <c r="T26" s="5" t="s">
        <v>85</v>
      </c>
      <c r="U26" s="3"/>
      <c r="V26" s="26"/>
      <c r="W26" s="26"/>
    </row>
    <row r="27" spans="1:23" ht="27" customHeight="1" thickBot="1" x14ac:dyDescent="0.4">
      <c r="A27" s="33">
        <v>26</v>
      </c>
      <c r="B27" s="35" t="s">
        <v>132</v>
      </c>
      <c r="C27" s="35" t="s">
        <v>133</v>
      </c>
      <c r="D27" s="36">
        <v>45862</v>
      </c>
      <c r="E27" s="38">
        <v>32</v>
      </c>
      <c r="F27" s="37">
        <v>2024</v>
      </c>
      <c r="G27" s="38" t="s">
        <v>79</v>
      </c>
      <c r="H27" s="38" t="s">
        <v>79</v>
      </c>
      <c r="I27" s="38" t="s">
        <v>79</v>
      </c>
      <c r="J27" s="38" t="s">
        <v>99</v>
      </c>
      <c r="K27" s="36">
        <v>45972</v>
      </c>
      <c r="L27" s="36">
        <v>46033</v>
      </c>
      <c r="M27" s="38" t="s">
        <v>79</v>
      </c>
      <c r="N27" s="38" t="s">
        <v>79</v>
      </c>
      <c r="O27" s="38" t="s">
        <v>77</v>
      </c>
      <c r="P27" s="34"/>
      <c r="Q27" s="34"/>
      <c r="R27" s="34"/>
      <c r="S27" s="34"/>
      <c r="T27" s="46" t="s">
        <v>134</v>
      </c>
      <c r="U27" s="35" t="s">
        <v>135</v>
      </c>
      <c r="V27" s="26"/>
      <c r="W27" s="26"/>
    </row>
    <row r="28" spans="1:23" ht="21" customHeight="1" thickBot="1" x14ac:dyDescent="0.4">
      <c r="A28" s="33">
        <v>27</v>
      </c>
      <c r="B28" s="35" t="s">
        <v>136</v>
      </c>
      <c r="C28" s="35" t="s">
        <v>84</v>
      </c>
      <c r="D28" s="36">
        <v>45863</v>
      </c>
      <c r="E28" s="38">
        <v>31</v>
      </c>
      <c r="F28" s="37" t="s">
        <v>238</v>
      </c>
      <c r="G28" s="38" t="s">
        <v>77</v>
      </c>
      <c r="H28" s="38" t="s">
        <v>77</v>
      </c>
      <c r="I28" s="38" t="s">
        <v>77</v>
      </c>
      <c r="J28" s="38" t="s">
        <v>78</v>
      </c>
      <c r="K28" s="36">
        <v>45952</v>
      </c>
      <c r="L28" s="36">
        <v>46013</v>
      </c>
      <c r="M28" s="38" t="s">
        <v>79</v>
      </c>
      <c r="N28" s="38" t="s">
        <v>79</v>
      </c>
      <c r="O28" s="38" t="s">
        <v>17</v>
      </c>
      <c r="P28" s="34"/>
      <c r="Q28" s="34"/>
      <c r="R28" s="34"/>
      <c r="S28" s="34"/>
      <c r="T28" s="46" t="s">
        <v>123</v>
      </c>
      <c r="U28" s="34" t="s">
        <v>238</v>
      </c>
      <c r="V28" s="26"/>
      <c r="W28" s="26"/>
    </row>
    <row r="29" spans="1:23" ht="46.5" customHeight="1" thickBot="1" x14ac:dyDescent="0.4">
      <c r="A29" s="33">
        <v>28</v>
      </c>
      <c r="B29" s="35" t="s">
        <v>239</v>
      </c>
      <c r="C29" s="35" t="s">
        <v>137</v>
      </c>
      <c r="D29" s="36">
        <v>45882</v>
      </c>
      <c r="E29" s="38">
        <v>30</v>
      </c>
      <c r="F29" s="37" t="s">
        <v>240</v>
      </c>
      <c r="G29" s="38" t="s">
        <v>77</v>
      </c>
      <c r="H29" s="38" t="s">
        <v>77</v>
      </c>
      <c r="I29" s="38" t="s">
        <v>77</v>
      </c>
      <c r="J29" s="38" t="s">
        <v>78</v>
      </c>
      <c r="K29" s="36">
        <v>45952</v>
      </c>
      <c r="L29" s="36">
        <v>46013</v>
      </c>
      <c r="M29" s="38" t="s">
        <v>79</v>
      </c>
      <c r="N29" s="38" t="s">
        <v>79</v>
      </c>
      <c r="O29" s="38" t="s">
        <v>79</v>
      </c>
      <c r="P29" s="34"/>
      <c r="Q29" s="34"/>
      <c r="R29" s="34"/>
      <c r="S29" s="34"/>
      <c r="T29" s="46" t="s">
        <v>138</v>
      </c>
      <c r="U29" s="127">
        <v>7365024</v>
      </c>
      <c r="V29" s="26" t="s">
        <v>238</v>
      </c>
      <c r="W29" s="26"/>
    </row>
    <row r="30" spans="1:23" ht="30.75" customHeight="1" thickBot="1" x14ac:dyDescent="0.4">
      <c r="A30" s="33">
        <v>29</v>
      </c>
      <c r="B30" s="35" t="s">
        <v>139</v>
      </c>
      <c r="C30" s="35" t="s">
        <v>81</v>
      </c>
      <c r="D30" s="36">
        <v>45884</v>
      </c>
      <c r="E30" s="38">
        <v>27</v>
      </c>
      <c r="F30" s="38" t="s">
        <v>140</v>
      </c>
      <c r="G30" s="38" t="s">
        <v>77</v>
      </c>
      <c r="H30" s="38" t="s">
        <v>79</v>
      </c>
      <c r="I30" s="38" t="s">
        <v>79</v>
      </c>
      <c r="J30" s="38" t="s">
        <v>78</v>
      </c>
      <c r="K30" s="36">
        <v>45915</v>
      </c>
      <c r="L30" s="36">
        <v>46006</v>
      </c>
      <c r="M30" s="38" t="s">
        <v>79</v>
      </c>
      <c r="N30" s="38" t="s">
        <v>79</v>
      </c>
      <c r="O30" s="38" t="s">
        <v>77</v>
      </c>
      <c r="P30" s="34"/>
      <c r="Q30" s="34"/>
      <c r="R30" s="34"/>
      <c r="S30" s="34"/>
      <c r="T30" s="46" t="s">
        <v>141</v>
      </c>
      <c r="U30" s="34"/>
      <c r="V30" s="26"/>
      <c r="W30" s="26"/>
    </row>
    <row r="31" spans="1:23" ht="16.5" customHeight="1" thickBot="1" x14ac:dyDescent="0.4">
      <c r="A31" s="39">
        <v>30</v>
      </c>
      <c r="B31" s="4" t="s">
        <v>142</v>
      </c>
      <c r="C31" s="4" t="s">
        <v>143</v>
      </c>
      <c r="D31" s="42">
        <v>45902</v>
      </c>
      <c r="E31" s="44">
        <v>29</v>
      </c>
      <c r="F31" s="38" t="s">
        <v>140</v>
      </c>
      <c r="G31" s="44" t="s">
        <v>77</v>
      </c>
      <c r="H31" s="44" t="s">
        <v>77</v>
      </c>
      <c r="I31" s="44" t="s">
        <v>77</v>
      </c>
      <c r="J31" s="44" t="s">
        <v>99</v>
      </c>
      <c r="K31" s="42">
        <v>45982</v>
      </c>
      <c r="L31" s="42">
        <v>46043</v>
      </c>
      <c r="M31" s="44" t="s">
        <v>79</v>
      </c>
      <c r="N31" s="44" t="s">
        <v>79</v>
      </c>
      <c r="O31" s="3"/>
      <c r="P31" s="3"/>
      <c r="Q31" s="3"/>
      <c r="R31" s="3"/>
      <c r="S31" s="3"/>
      <c r="T31" s="5" t="s">
        <v>144</v>
      </c>
      <c r="U31" s="3"/>
      <c r="V31" s="26"/>
      <c r="W31" s="26"/>
    </row>
    <row r="32" spans="1:23" ht="17.25" customHeight="1" thickBot="1" x14ac:dyDescent="0.4">
      <c r="A32" s="39">
        <v>31</v>
      </c>
      <c r="B32" s="4" t="s">
        <v>145</v>
      </c>
      <c r="C32" s="4" t="s">
        <v>146</v>
      </c>
      <c r="D32" s="42">
        <v>45905</v>
      </c>
      <c r="E32" s="44">
        <v>28</v>
      </c>
      <c r="F32" s="38" t="s">
        <v>140</v>
      </c>
      <c r="G32" s="44" t="s">
        <v>77</v>
      </c>
      <c r="H32" s="44" t="s">
        <v>77</v>
      </c>
      <c r="I32" s="44" t="s">
        <v>77</v>
      </c>
      <c r="J32" s="44" t="s">
        <v>131</v>
      </c>
      <c r="K32" s="42">
        <v>46000</v>
      </c>
      <c r="L32" s="42">
        <v>46090</v>
      </c>
      <c r="M32" s="44" t="s">
        <v>79</v>
      </c>
      <c r="N32" s="3"/>
      <c r="O32" s="3"/>
      <c r="P32" s="3"/>
      <c r="Q32" s="3"/>
      <c r="R32" s="3"/>
      <c r="S32" s="3"/>
      <c r="T32" s="5" t="s">
        <v>147</v>
      </c>
      <c r="U32" s="3"/>
      <c r="V32" s="49"/>
      <c r="W32" s="50"/>
    </row>
    <row r="33" spans="1:23" ht="33.75" customHeight="1" thickBot="1" x14ac:dyDescent="0.4">
      <c r="A33" s="39">
        <v>32</v>
      </c>
      <c r="B33" s="4" t="s">
        <v>148</v>
      </c>
      <c r="C33" s="4" t="s">
        <v>149</v>
      </c>
      <c r="D33" s="42">
        <v>45918</v>
      </c>
      <c r="E33" s="44">
        <v>34</v>
      </c>
      <c r="F33" s="38" t="s">
        <v>140</v>
      </c>
      <c r="G33" s="44" t="s">
        <v>79</v>
      </c>
      <c r="H33" s="44" t="s">
        <v>79</v>
      </c>
      <c r="I33" s="44" t="s">
        <v>79</v>
      </c>
      <c r="J33" s="44" t="s">
        <v>99</v>
      </c>
      <c r="K33" s="42">
        <v>45971</v>
      </c>
      <c r="L33" s="42">
        <v>46063</v>
      </c>
      <c r="M33" s="44" t="s">
        <v>79</v>
      </c>
      <c r="N33" s="44" t="s">
        <v>79</v>
      </c>
      <c r="O33" s="3"/>
      <c r="P33" s="3"/>
      <c r="Q33" s="3"/>
      <c r="R33" s="3"/>
      <c r="S33" s="3"/>
      <c r="T33" s="5" t="s">
        <v>150</v>
      </c>
      <c r="U33" s="3"/>
      <c r="V33" s="26"/>
      <c r="W33" s="26"/>
    </row>
    <row r="34" spans="1:23" ht="18" customHeight="1" thickBot="1" x14ac:dyDescent="0.4">
      <c r="A34" s="33">
        <v>33</v>
      </c>
      <c r="B34" s="35" t="s">
        <v>151</v>
      </c>
      <c r="C34" s="35" t="s">
        <v>152</v>
      </c>
      <c r="D34" s="36">
        <v>45925</v>
      </c>
      <c r="E34" s="38">
        <v>33</v>
      </c>
      <c r="F34" s="37" t="s">
        <v>140</v>
      </c>
      <c r="G34" s="38" t="s">
        <v>79</v>
      </c>
      <c r="H34" s="38" t="s">
        <v>79</v>
      </c>
      <c r="I34" s="38" t="s">
        <v>79</v>
      </c>
      <c r="J34" s="38" t="s">
        <v>78</v>
      </c>
      <c r="K34" s="36">
        <v>45971</v>
      </c>
      <c r="L34" s="36">
        <v>46063</v>
      </c>
      <c r="M34" s="38" t="s">
        <v>79</v>
      </c>
      <c r="N34" s="38" t="s">
        <v>79</v>
      </c>
      <c r="O34" s="38" t="s">
        <v>79</v>
      </c>
      <c r="P34" s="34"/>
      <c r="Q34" s="34"/>
      <c r="R34" s="34"/>
      <c r="S34" s="34"/>
      <c r="T34" s="46" t="s">
        <v>144</v>
      </c>
      <c r="U34" s="34"/>
      <c r="V34" s="26"/>
      <c r="W34" s="26"/>
    </row>
    <row r="35" spans="1:23" ht="17.25" customHeight="1" thickBot="1" x14ac:dyDescent="0.4">
      <c r="A35" s="33">
        <v>34</v>
      </c>
      <c r="B35" s="35" t="s">
        <v>153</v>
      </c>
      <c r="C35" s="35" t="s">
        <v>152</v>
      </c>
      <c r="D35" s="36">
        <v>45945</v>
      </c>
      <c r="E35" s="38">
        <v>37</v>
      </c>
      <c r="F35" s="38" t="s">
        <v>140</v>
      </c>
      <c r="G35" s="38" t="s">
        <v>77</v>
      </c>
      <c r="H35" s="38" t="s">
        <v>77</v>
      </c>
      <c r="I35" s="38" t="s">
        <v>77</v>
      </c>
      <c r="J35" s="38" t="s">
        <v>78</v>
      </c>
      <c r="K35" s="36">
        <v>45989</v>
      </c>
      <c r="L35" s="36">
        <v>46081</v>
      </c>
      <c r="M35" s="38" t="s">
        <v>79</v>
      </c>
      <c r="N35" s="38" t="s">
        <v>79</v>
      </c>
      <c r="O35" s="34"/>
      <c r="P35" s="34"/>
      <c r="Q35" s="38" t="s">
        <v>79</v>
      </c>
      <c r="R35" s="34"/>
      <c r="S35" s="34"/>
      <c r="T35" s="46" t="s">
        <v>154</v>
      </c>
      <c r="U35" s="34"/>
      <c r="V35" s="26"/>
      <c r="W35" s="26"/>
    </row>
    <row r="36" spans="1:23" ht="29.25" customHeight="1" thickBot="1" x14ac:dyDescent="0.4">
      <c r="A36" s="128">
        <v>35</v>
      </c>
      <c r="B36" s="129" t="s">
        <v>242</v>
      </c>
      <c r="C36" s="130" t="s">
        <v>155</v>
      </c>
      <c r="D36" s="131">
        <v>45950</v>
      </c>
      <c r="E36" s="132">
        <v>39</v>
      </c>
      <c r="F36" s="47" t="s">
        <v>158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26"/>
      <c r="W36" s="26"/>
    </row>
    <row r="37" spans="1:23" ht="17.25" customHeight="1" thickBot="1" x14ac:dyDescent="0.4">
      <c r="A37" s="56">
        <v>36</v>
      </c>
      <c r="B37" s="57" t="s">
        <v>156</v>
      </c>
      <c r="C37" s="58" t="s">
        <v>157</v>
      </c>
      <c r="D37" s="59">
        <v>45950</v>
      </c>
      <c r="E37" s="60">
        <v>38</v>
      </c>
      <c r="F37" s="61" t="s">
        <v>158</v>
      </c>
      <c r="G37" s="61" t="s">
        <v>79</v>
      </c>
      <c r="H37" s="61" t="s">
        <v>79</v>
      </c>
      <c r="I37" s="61" t="s">
        <v>79</v>
      </c>
      <c r="J37" s="61" t="s">
        <v>131</v>
      </c>
      <c r="K37" s="62">
        <v>45989</v>
      </c>
      <c r="L37" s="62">
        <v>46109</v>
      </c>
      <c r="M37" s="61" t="s">
        <v>79</v>
      </c>
      <c r="N37" s="61" t="s">
        <v>79</v>
      </c>
      <c r="O37" s="61" t="s">
        <v>79</v>
      </c>
      <c r="P37" s="14"/>
      <c r="Q37" s="14"/>
      <c r="R37" s="14"/>
      <c r="S37" s="14"/>
      <c r="T37" s="63" t="s">
        <v>159</v>
      </c>
      <c r="U37" s="133">
        <v>40000000</v>
      </c>
      <c r="V37" t="s">
        <v>241</v>
      </c>
      <c r="W37" s="26"/>
    </row>
    <row r="38" spans="1:23" ht="47.25" customHeight="1" thickBot="1" x14ac:dyDescent="0.4">
      <c r="A38" s="51">
        <v>38</v>
      </c>
      <c r="B38" s="52" t="s">
        <v>160</v>
      </c>
      <c r="C38" s="53" t="s">
        <v>161</v>
      </c>
      <c r="D38" s="54">
        <v>45957</v>
      </c>
      <c r="E38" s="55">
        <v>41</v>
      </c>
      <c r="F38" s="43" t="s">
        <v>140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26"/>
      <c r="W38" s="26"/>
    </row>
    <row r="39" spans="1:23" ht="48.75" customHeight="1" thickBot="1" x14ac:dyDescent="0.4">
      <c r="A39" s="64">
        <v>39</v>
      </c>
      <c r="B39" s="65" t="s">
        <v>162</v>
      </c>
      <c r="C39" s="66" t="s">
        <v>163</v>
      </c>
      <c r="D39" s="34"/>
      <c r="E39" s="34"/>
      <c r="F39" s="37">
        <v>2024</v>
      </c>
      <c r="G39" s="34"/>
      <c r="H39" s="34"/>
      <c r="I39" s="34"/>
      <c r="J39" s="38" t="s">
        <v>78</v>
      </c>
      <c r="K39" s="34"/>
      <c r="L39" s="34"/>
      <c r="M39" s="38" t="s">
        <v>77</v>
      </c>
      <c r="N39" s="38" t="s">
        <v>17</v>
      </c>
      <c r="O39" s="38" t="s">
        <v>17</v>
      </c>
      <c r="P39" s="34"/>
      <c r="Q39" s="34"/>
      <c r="R39" s="34"/>
      <c r="S39" s="34"/>
      <c r="T39" s="67" t="s">
        <v>164</v>
      </c>
      <c r="U39" s="34"/>
      <c r="V39" s="26"/>
      <c r="W39" s="26"/>
    </row>
    <row r="40" spans="1:23" ht="15" thickBot="1" x14ac:dyDescent="0.4">
      <c r="A40" s="26"/>
      <c r="B40" s="26"/>
      <c r="C40" s="26"/>
      <c r="D40" s="26"/>
      <c r="E40" s="26"/>
      <c r="F40" s="125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</row>
    <row r="41" spans="1:23" ht="15" thickBot="1" x14ac:dyDescent="0.4">
      <c r="A41" s="26"/>
      <c r="B41" s="26"/>
      <c r="C41" s="26"/>
      <c r="D41" s="26"/>
      <c r="E41" s="26"/>
      <c r="F41" s="125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68"/>
      <c r="U41" s="68"/>
      <c r="V41" s="26"/>
      <c r="W41" s="26"/>
    </row>
    <row r="42" spans="1:23" ht="29.5" thickBot="1" x14ac:dyDescent="0.4">
      <c r="A42" s="26"/>
      <c r="B42" s="26"/>
      <c r="C42" s="26"/>
      <c r="D42" s="26"/>
      <c r="E42" s="26"/>
      <c r="F42" s="125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69"/>
      <c r="T42" s="70" t="s">
        <v>165</v>
      </c>
      <c r="U42" s="72" t="s">
        <v>166</v>
      </c>
      <c r="V42" s="26"/>
      <c r="W42" s="26"/>
    </row>
    <row r="43" spans="1:23" ht="15" thickBot="1" x14ac:dyDescent="0.4">
      <c r="A43" s="26"/>
      <c r="B43" s="26"/>
      <c r="C43" s="26"/>
      <c r="D43" s="26"/>
      <c r="E43" s="26"/>
      <c r="F43" s="125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</row>
    <row r="44" spans="1:23" ht="15" thickBot="1" x14ac:dyDescent="0.4">
      <c r="A44" s="26"/>
      <c r="B44" s="26"/>
      <c r="C44" s="26"/>
      <c r="D44" s="26"/>
      <c r="E44" s="26"/>
      <c r="F44" s="125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</sheetData>
  <mergeCells count="1">
    <mergeCell ref="A1:U1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4C69-42B0-4AEA-B31D-03EC12BDB0B7}">
  <dimension ref="A1:W39"/>
  <sheetViews>
    <sheetView topLeftCell="A14" workbookViewId="0">
      <selection activeCell="B22" sqref="B22"/>
    </sheetView>
  </sheetViews>
  <sheetFormatPr baseColWidth="10" defaultRowHeight="14.5" x14ac:dyDescent="0.35"/>
  <cols>
    <col min="2" max="2" width="19.26953125" customWidth="1"/>
    <col min="3" max="3" width="17.81640625" customWidth="1"/>
    <col min="18" max="18" width="21" customWidth="1"/>
    <col min="19" max="19" width="13.26953125" customWidth="1"/>
  </cols>
  <sheetData>
    <row r="1" spans="1:22" ht="15" thickBot="1" x14ac:dyDescent="0.4">
      <c r="A1" s="140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2"/>
    </row>
    <row r="2" spans="1:22" ht="25" thickBot="1" x14ac:dyDescent="0.4">
      <c r="A2" s="73" t="s">
        <v>54</v>
      </c>
      <c r="B2" s="74" t="s">
        <v>55</v>
      </c>
      <c r="C2" s="74" t="s">
        <v>56</v>
      </c>
      <c r="D2" s="74" t="s">
        <v>58</v>
      </c>
      <c r="E2" s="74" t="s">
        <v>59</v>
      </c>
      <c r="F2" s="74" t="s">
        <v>167</v>
      </c>
      <c r="G2" s="74" t="s">
        <v>61</v>
      </c>
      <c r="H2" s="74" t="s">
        <v>62</v>
      </c>
      <c r="I2" s="74" t="s">
        <v>63</v>
      </c>
      <c r="J2" s="74" t="s">
        <v>168</v>
      </c>
      <c r="K2" s="74" t="s">
        <v>64</v>
      </c>
      <c r="L2" s="74" t="s">
        <v>65</v>
      </c>
      <c r="M2" s="74" t="s">
        <v>66</v>
      </c>
      <c r="N2" s="74" t="s">
        <v>67</v>
      </c>
      <c r="O2" s="74" t="s">
        <v>68</v>
      </c>
      <c r="P2" s="74" t="s">
        <v>70</v>
      </c>
      <c r="Q2" s="74" t="s">
        <v>71</v>
      </c>
      <c r="R2" s="74" t="s">
        <v>169</v>
      </c>
      <c r="S2" s="74" t="s">
        <v>74</v>
      </c>
      <c r="T2" s="75" t="s">
        <v>170</v>
      </c>
      <c r="U2" s="75" t="s">
        <v>171</v>
      </c>
      <c r="V2" s="75" t="s">
        <v>172</v>
      </c>
    </row>
    <row r="3" spans="1:22" ht="27.75" customHeight="1" thickBot="1" x14ac:dyDescent="0.4">
      <c r="A3" s="76">
        <v>1</v>
      </c>
      <c r="B3" s="15" t="s">
        <v>173</v>
      </c>
      <c r="C3" s="15" t="s">
        <v>93</v>
      </c>
      <c r="D3" s="61">
        <v>1</v>
      </c>
      <c r="E3" s="61" t="s">
        <v>158</v>
      </c>
      <c r="F3" s="71"/>
      <c r="G3" s="61" t="s">
        <v>79</v>
      </c>
      <c r="H3" s="60" t="s">
        <v>79</v>
      </c>
      <c r="I3" s="14"/>
      <c r="J3" s="14"/>
      <c r="K3" s="59">
        <v>46069</v>
      </c>
      <c r="L3" s="59">
        <v>46157</v>
      </c>
      <c r="M3" s="14"/>
      <c r="N3" s="14"/>
      <c r="O3" s="14"/>
      <c r="P3" s="14"/>
      <c r="Q3" s="14"/>
      <c r="R3" s="77">
        <v>71965152</v>
      </c>
      <c r="S3" s="14"/>
      <c r="T3" s="3"/>
      <c r="U3" s="3"/>
      <c r="V3" s="3"/>
    </row>
    <row r="4" spans="1:22" ht="29.25" customHeight="1" thickBot="1" x14ac:dyDescent="0.4">
      <c r="A4" s="76">
        <v>2</v>
      </c>
      <c r="B4" s="15" t="s">
        <v>105</v>
      </c>
      <c r="C4" s="15" t="s">
        <v>174</v>
      </c>
      <c r="D4" s="61">
        <v>2</v>
      </c>
      <c r="E4" s="14">
        <v>2025</v>
      </c>
      <c r="F4" s="71"/>
      <c r="G4" s="61" t="s">
        <v>79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77">
        <v>35697000</v>
      </c>
      <c r="S4" s="14"/>
      <c r="T4" s="3"/>
      <c r="U4" s="3"/>
      <c r="V4" s="3"/>
    </row>
    <row r="5" spans="1:22" ht="18.75" customHeight="1" thickBot="1" x14ac:dyDescent="0.4">
      <c r="A5" s="76">
        <v>3</v>
      </c>
      <c r="B5" s="15" t="s">
        <v>175</v>
      </c>
      <c r="C5" s="15" t="s">
        <v>201</v>
      </c>
      <c r="D5" s="61">
        <v>3</v>
      </c>
      <c r="E5" s="14" t="s">
        <v>158</v>
      </c>
      <c r="F5" s="71"/>
      <c r="G5" s="61" t="s">
        <v>77</v>
      </c>
      <c r="H5" s="14"/>
      <c r="I5" s="14"/>
      <c r="J5" s="14"/>
      <c r="K5" s="3"/>
      <c r="L5" s="3"/>
      <c r="M5" s="14"/>
      <c r="N5" s="14"/>
      <c r="O5" s="14"/>
      <c r="P5" s="14"/>
      <c r="Q5" s="14"/>
      <c r="R5" s="77">
        <v>80433444</v>
      </c>
      <c r="S5" s="14"/>
      <c r="T5" s="3"/>
      <c r="U5" s="3"/>
      <c r="V5" s="3"/>
    </row>
    <row r="6" spans="1:22" ht="30.75" customHeight="1" thickBot="1" x14ac:dyDescent="0.4">
      <c r="A6" s="76">
        <v>4</v>
      </c>
      <c r="B6" s="15" t="s">
        <v>132</v>
      </c>
      <c r="C6" s="15" t="s">
        <v>202</v>
      </c>
      <c r="D6" s="61">
        <v>4</v>
      </c>
      <c r="E6" s="14">
        <v>2025</v>
      </c>
      <c r="F6" s="14"/>
      <c r="G6" s="71"/>
      <c r="H6" s="14"/>
      <c r="I6" s="14"/>
      <c r="J6" s="14"/>
      <c r="K6" s="3"/>
      <c r="L6" s="14"/>
      <c r="M6" s="14"/>
      <c r="N6" s="14"/>
      <c r="O6" s="14"/>
      <c r="P6" s="14"/>
      <c r="Q6" s="14"/>
      <c r="R6" s="77">
        <v>35699000</v>
      </c>
      <c r="S6" s="14"/>
      <c r="T6" s="3"/>
      <c r="U6" s="3"/>
      <c r="V6" s="3"/>
    </row>
    <row r="7" spans="1:22" ht="30.75" customHeight="1" thickBot="1" x14ac:dyDescent="0.4">
      <c r="A7" s="76">
        <v>5</v>
      </c>
      <c r="B7" s="15" t="s">
        <v>176</v>
      </c>
      <c r="C7" s="15" t="s">
        <v>93</v>
      </c>
      <c r="D7" s="61">
        <v>5</v>
      </c>
      <c r="E7" s="61">
        <v>2026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77">
        <v>27460595</v>
      </c>
      <c r="S7" s="14"/>
      <c r="T7" s="3"/>
      <c r="U7" s="3"/>
      <c r="V7" s="3"/>
    </row>
    <row r="8" spans="1:22" ht="31.5" customHeight="1" thickBot="1" x14ac:dyDescent="0.4">
      <c r="A8" s="76">
        <v>6</v>
      </c>
      <c r="B8" s="15" t="s">
        <v>151</v>
      </c>
      <c r="C8" s="15" t="s">
        <v>93</v>
      </c>
      <c r="D8" s="61">
        <v>6</v>
      </c>
      <c r="E8" s="61">
        <v>2026</v>
      </c>
      <c r="F8" s="71"/>
      <c r="G8" s="61" t="s">
        <v>79</v>
      </c>
      <c r="H8" s="60" t="s">
        <v>79</v>
      </c>
      <c r="I8" s="14"/>
      <c r="J8" s="14"/>
      <c r="K8" s="59">
        <v>46069</v>
      </c>
      <c r="L8" s="59">
        <v>46127</v>
      </c>
      <c r="M8" s="14"/>
      <c r="N8" s="14"/>
      <c r="O8" s="14"/>
      <c r="P8" s="14"/>
      <c r="Q8" s="14"/>
      <c r="R8" s="77">
        <v>31266892</v>
      </c>
      <c r="S8" s="14"/>
      <c r="T8" s="3"/>
      <c r="U8" s="3"/>
      <c r="V8" s="3"/>
    </row>
    <row r="9" spans="1:22" ht="29.25" customHeight="1" thickBot="1" x14ac:dyDescent="0.4">
      <c r="A9" s="76">
        <v>7</v>
      </c>
      <c r="B9" s="15" t="s">
        <v>111</v>
      </c>
      <c r="C9" s="15" t="s">
        <v>177</v>
      </c>
      <c r="D9" s="61">
        <v>7</v>
      </c>
      <c r="E9" s="61">
        <v>2026</v>
      </c>
      <c r="F9" s="71"/>
      <c r="G9" s="61" t="s">
        <v>79</v>
      </c>
      <c r="H9" s="14"/>
      <c r="I9" s="14"/>
      <c r="J9" s="14"/>
      <c r="K9" s="59">
        <v>46097</v>
      </c>
      <c r="L9" s="59">
        <v>46157</v>
      </c>
      <c r="M9" s="14"/>
      <c r="N9" s="14"/>
      <c r="O9" s="14"/>
      <c r="P9" s="14"/>
      <c r="Q9" s="14"/>
      <c r="R9" s="77">
        <v>39858000</v>
      </c>
      <c r="S9" s="14"/>
      <c r="T9" s="3"/>
      <c r="U9" s="3"/>
      <c r="V9" s="3"/>
    </row>
    <row r="10" spans="1:22" ht="20.25" customHeight="1" thickBot="1" x14ac:dyDescent="0.4">
      <c r="A10" s="76">
        <v>8</v>
      </c>
      <c r="B10" s="15" t="s">
        <v>130</v>
      </c>
      <c r="C10" s="15" t="s">
        <v>84</v>
      </c>
      <c r="D10" s="61">
        <v>8</v>
      </c>
      <c r="E10" s="14" t="s">
        <v>158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77">
        <v>71967152</v>
      </c>
      <c r="S10" s="14"/>
      <c r="T10" s="3"/>
      <c r="U10" s="3"/>
      <c r="V10" s="3"/>
    </row>
    <row r="11" spans="1:22" ht="21" customHeight="1" thickBot="1" x14ac:dyDescent="0.4">
      <c r="A11" s="76">
        <v>9</v>
      </c>
      <c r="B11" s="78" t="s">
        <v>178</v>
      </c>
      <c r="C11" s="15" t="s">
        <v>203</v>
      </c>
      <c r="D11" s="61">
        <v>9</v>
      </c>
      <c r="E11" s="14" t="s">
        <v>158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77">
        <v>71967152</v>
      </c>
      <c r="S11" s="14"/>
      <c r="T11" s="3"/>
      <c r="U11" s="3"/>
      <c r="V11" s="3"/>
    </row>
    <row r="12" spans="1:22" ht="16.5" customHeight="1" thickBot="1" x14ac:dyDescent="0.4">
      <c r="A12" s="76">
        <v>10</v>
      </c>
      <c r="B12" s="15" t="s">
        <v>179</v>
      </c>
      <c r="C12" s="15" t="s">
        <v>201</v>
      </c>
      <c r="D12" s="61">
        <v>10</v>
      </c>
      <c r="E12" s="14" t="s">
        <v>158</v>
      </c>
      <c r="F12" s="71"/>
      <c r="G12" s="71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77">
        <v>62102092</v>
      </c>
      <c r="S12" s="14"/>
      <c r="T12" s="3"/>
      <c r="U12" s="3"/>
      <c r="V12" s="3"/>
    </row>
    <row r="13" spans="1:22" ht="15" thickBot="1" x14ac:dyDescent="0.4">
      <c r="A13" s="76">
        <v>11</v>
      </c>
      <c r="B13" s="15" t="s">
        <v>83</v>
      </c>
      <c r="C13" s="15" t="s">
        <v>205</v>
      </c>
      <c r="D13" s="61">
        <v>11</v>
      </c>
      <c r="E13" s="61" t="s">
        <v>243</v>
      </c>
      <c r="F13" s="71"/>
      <c r="G13" s="61" t="s">
        <v>79</v>
      </c>
      <c r="H13" s="60" t="s">
        <v>79</v>
      </c>
      <c r="I13" s="14"/>
      <c r="J13" s="14"/>
      <c r="K13" s="14"/>
      <c r="L13" s="14"/>
      <c r="M13" s="14"/>
      <c r="N13" s="14"/>
      <c r="O13" s="14"/>
      <c r="P13" s="14"/>
      <c r="Q13" s="14"/>
      <c r="R13" s="77">
        <v>71967152</v>
      </c>
      <c r="S13" s="14"/>
      <c r="T13" s="3"/>
      <c r="U13" s="3"/>
      <c r="V13" s="3"/>
    </row>
    <row r="14" spans="1:22" ht="20.25" customHeight="1" thickBot="1" x14ac:dyDescent="0.4">
      <c r="A14" s="76">
        <v>12</v>
      </c>
      <c r="B14" s="15" t="s">
        <v>90</v>
      </c>
      <c r="C14" s="15" t="s">
        <v>84</v>
      </c>
      <c r="D14" s="61">
        <v>12</v>
      </c>
      <c r="E14" s="61" t="s">
        <v>158</v>
      </c>
      <c r="F14" s="60" t="s">
        <v>79</v>
      </c>
      <c r="G14" s="61" t="s">
        <v>79</v>
      </c>
      <c r="H14" s="60" t="s">
        <v>79</v>
      </c>
      <c r="I14" s="14"/>
      <c r="J14" s="14" t="s">
        <v>246</v>
      </c>
      <c r="K14" s="59">
        <v>46069</v>
      </c>
      <c r="L14" s="59">
        <v>46158</v>
      </c>
      <c r="M14" s="14"/>
      <c r="N14" s="14"/>
      <c r="O14" s="14"/>
      <c r="P14" s="14"/>
      <c r="Q14" s="14"/>
      <c r="R14" s="77">
        <v>71967152</v>
      </c>
      <c r="S14" s="14"/>
      <c r="T14" s="3"/>
      <c r="U14" s="3"/>
      <c r="V14" s="3"/>
    </row>
    <row r="15" spans="1:22" ht="29.25" customHeight="1" thickBot="1" x14ac:dyDescent="0.4">
      <c r="A15" s="76">
        <v>13</v>
      </c>
      <c r="B15" s="15" t="s">
        <v>180</v>
      </c>
      <c r="C15" s="15" t="s">
        <v>93</v>
      </c>
      <c r="D15" s="61">
        <v>13</v>
      </c>
      <c r="E15" s="14">
        <v>2025</v>
      </c>
      <c r="F15" s="71"/>
      <c r="G15" s="61" t="s">
        <v>79</v>
      </c>
      <c r="H15" s="60" t="s">
        <v>79</v>
      </c>
      <c r="I15" s="14"/>
      <c r="J15" s="14"/>
      <c r="K15" s="59">
        <v>46069</v>
      </c>
      <c r="L15" s="59">
        <v>46157</v>
      </c>
      <c r="M15" s="14"/>
      <c r="N15" s="14"/>
      <c r="O15" s="14"/>
      <c r="P15" s="14"/>
      <c r="Q15" s="14"/>
      <c r="R15" s="77">
        <v>27134976</v>
      </c>
      <c r="S15" s="14"/>
      <c r="T15" s="3"/>
      <c r="U15" s="3"/>
      <c r="V15" s="3"/>
    </row>
    <row r="16" spans="1:22" ht="16.5" customHeight="1" thickBot="1" x14ac:dyDescent="0.4">
      <c r="A16" s="76">
        <v>14</v>
      </c>
      <c r="B16" s="15" t="s">
        <v>160</v>
      </c>
      <c r="C16" s="15" t="s">
        <v>204</v>
      </c>
      <c r="D16" s="61">
        <v>14</v>
      </c>
      <c r="E16" s="14">
        <v>2026</v>
      </c>
      <c r="F16" s="71"/>
      <c r="G16" s="61" t="s">
        <v>79</v>
      </c>
      <c r="H16" s="60" t="s">
        <v>79</v>
      </c>
      <c r="I16" s="14"/>
      <c r="J16" s="14"/>
      <c r="K16" s="14"/>
      <c r="L16" s="14"/>
      <c r="M16" s="14"/>
      <c r="N16" s="14"/>
      <c r="O16" s="14"/>
      <c r="P16" s="14"/>
      <c r="Q16" s="14"/>
      <c r="R16" s="77">
        <v>71268152</v>
      </c>
      <c r="S16" s="14"/>
      <c r="T16" s="3"/>
      <c r="U16" s="3"/>
      <c r="V16" s="3"/>
    </row>
    <row r="17" spans="1:22" ht="30.75" customHeight="1" thickBot="1" x14ac:dyDescent="0.4">
      <c r="A17" s="76"/>
      <c r="B17" s="15" t="s">
        <v>127</v>
      </c>
      <c r="C17" s="15" t="s">
        <v>93</v>
      </c>
      <c r="D17" s="61">
        <v>15</v>
      </c>
      <c r="E17" s="14" t="s">
        <v>158</v>
      </c>
      <c r="F17" s="71"/>
      <c r="G17" s="61" t="s">
        <v>79</v>
      </c>
      <c r="H17" s="60" t="s">
        <v>79</v>
      </c>
      <c r="I17" s="14"/>
      <c r="J17" s="14"/>
      <c r="K17" s="59">
        <v>46069</v>
      </c>
      <c r="L17" s="59">
        <v>46157</v>
      </c>
      <c r="M17" s="14"/>
      <c r="N17" s="14"/>
      <c r="O17" s="14"/>
      <c r="P17" s="14"/>
      <c r="Q17" s="14"/>
      <c r="R17" s="77">
        <v>54595571</v>
      </c>
      <c r="S17" s="14"/>
      <c r="T17" s="3"/>
      <c r="U17" s="3"/>
      <c r="V17" s="3"/>
    </row>
    <row r="18" spans="1:22" ht="33" customHeight="1" thickBot="1" x14ac:dyDescent="0.4">
      <c r="A18" s="76">
        <v>16</v>
      </c>
      <c r="B18" s="15" t="s">
        <v>181</v>
      </c>
      <c r="C18" s="15" t="s">
        <v>177</v>
      </c>
      <c r="D18" s="61">
        <v>16</v>
      </c>
      <c r="E18" s="14">
        <v>2025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77">
        <v>35697000</v>
      </c>
      <c r="S18" s="14"/>
      <c r="T18" s="3"/>
      <c r="U18" s="3"/>
      <c r="V18" s="3"/>
    </row>
    <row r="19" spans="1:22" ht="15" thickBot="1" x14ac:dyDescent="0.4">
      <c r="A19" s="76">
        <v>17</v>
      </c>
      <c r="B19" s="15" t="s">
        <v>125</v>
      </c>
      <c r="C19" s="15" t="s">
        <v>204</v>
      </c>
      <c r="D19" s="61">
        <v>21</v>
      </c>
      <c r="E19" s="14">
        <v>2025</v>
      </c>
      <c r="F19" s="71"/>
      <c r="G19" s="61" t="s">
        <v>79</v>
      </c>
      <c r="H19" s="14"/>
      <c r="I19" s="14"/>
      <c r="J19" s="14"/>
      <c r="K19" s="59">
        <v>46097</v>
      </c>
      <c r="L19" s="59">
        <v>46188</v>
      </c>
      <c r="M19" s="14"/>
      <c r="N19" s="14"/>
      <c r="O19" s="14"/>
      <c r="P19" s="14"/>
      <c r="Q19" s="14"/>
      <c r="R19" s="77">
        <v>80433444</v>
      </c>
      <c r="S19" s="14"/>
      <c r="T19" s="3"/>
      <c r="U19" s="3"/>
      <c r="V19" s="3"/>
    </row>
    <row r="20" spans="1:22" ht="15" thickBot="1" x14ac:dyDescent="0.4">
      <c r="A20" s="76">
        <v>18</v>
      </c>
      <c r="B20" s="15" t="s">
        <v>182</v>
      </c>
      <c r="C20" s="15" t="s">
        <v>183</v>
      </c>
      <c r="D20" s="61">
        <v>24</v>
      </c>
      <c r="E20" s="14">
        <v>2026</v>
      </c>
      <c r="F20" s="71"/>
      <c r="G20" s="61" t="s">
        <v>79</v>
      </c>
      <c r="H20" s="14"/>
      <c r="I20" s="14"/>
      <c r="J20" s="14"/>
      <c r="K20" s="59">
        <v>46097</v>
      </c>
      <c r="L20" s="14"/>
      <c r="M20" s="14"/>
      <c r="N20" s="14"/>
      <c r="O20" s="14"/>
      <c r="P20" s="14"/>
      <c r="Q20" s="14"/>
      <c r="R20" s="77">
        <v>18000000</v>
      </c>
      <c r="S20" s="14"/>
      <c r="T20" s="3"/>
      <c r="U20" s="3"/>
      <c r="V20" s="3"/>
    </row>
    <row r="21" spans="1:22" ht="32.25" customHeight="1" thickBot="1" x14ac:dyDescent="0.4">
      <c r="A21" s="76">
        <v>19</v>
      </c>
      <c r="B21" s="17" t="s">
        <v>124</v>
      </c>
      <c r="C21" s="17" t="s">
        <v>93</v>
      </c>
      <c r="D21" s="48">
        <v>25</v>
      </c>
      <c r="E21" s="16">
        <v>2025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79">
        <v>35697000</v>
      </c>
      <c r="S21" s="14"/>
      <c r="T21" s="3"/>
      <c r="U21" s="3"/>
      <c r="V21" s="3"/>
    </row>
    <row r="22" spans="1:22" ht="18.75" customHeight="1" thickBot="1" x14ac:dyDescent="0.4">
      <c r="A22" s="76">
        <v>20</v>
      </c>
      <c r="B22" s="78" t="s">
        <v>184</v>
      </c>
      <c r="C22" s="15" t="s">
        <v>204</v>
      </c>
      <c r="D22" s="61">
        <v>27</v>
      </c>
      <c r="E22" s="61">
        <v>2026</v>
      </c>
      <c r="F22" s="80" t="s">
        <v>77</v>
      </c>
      <c r="G22" s="60" t="s">
        <v>79</v>
      </c>
      <c r="H22" s="60" t="s">
        <v>79</v>
      </c>
      <c r="I22" s="14"/>
      <c r="J22" s="14" t="s">
        <v>246</v>
      </c>
      <c r="K22" s="59">
        <v>46070</v>
      </c>
      <c r="L22" s="59">
        <v>46158</v>
      </c>
      <c r="M22" s="14"/>
      <c r="N22" s="14"/>
      <c r="O22" s="14"/>
      <c r="P22" s="14"/>
      <c r="Q22" s="14"/>
      <c r="R22" s="77">
        <v>36268152</v>
      </c>
      <c r="S22" s="14"/>
      <c r="T22" s="3"/>
      <c r="U22" s="3"/>
      <c r="V22" s="3"/>
    </row>
    <row r="23" spans="1:22" ht="15" thickBot="1" x14ac:dyDescent="0.4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81">
        <v>1031445078</v>
      </c>
      <c r="S23" s="26"/>
      <c r="T23" s="26"/>
      <c r="U23" s="26"/>
      <c r="V23" s="26"/>
    </row>
    <row r="24" spans="1:22" ht="15" thickBot="1" x14ac:dyDescent="0.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</row>
    <row r="25" spans="1:22" ht="15" thickBot="1" x14ac:dyDescent="0.4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</row>
    <row r="26" spans="1:22" ht="15" thickBot="1" x14ac:dyDescent="0.4">
      <c r="A26" s="143" t="s">
        <v>185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5"/>
    </row>
    <row r="27" spans="1:22" ht="29.5" thickBot="1" x14ac:dyDescent="0.4">
      <c r="A27" s="1"/>
      <c r="B27" s="4" t="s">
        <v>186</v>
      </c>
      <c r="C27" s="4" t="s">
        <v>187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146" t="s">
        <v>188</v>
      </c>
      <c r="S27" s="4" t="s">
        <v>189</v>
      </c>
      <c r="T27" s="3"/>
      <c r="U27" s="3"/>
      <c r="V27" s="3"/>
    </row>
    <row r="28" spans="1:22" ht="21.75" customHeight="1" thickBot="1" x14ac:dyDescent="0.4">
      <c r="A28" s="1"/>
      <c r="B28" s="4" t="s">
        <v>124</v>
      </c>
      <c r="C28" s="149" t="s">
        <v>190</v>
      </c>
      <c r="D28" s="3"/>
      <c r="E28" s="4" t="s">
        <v>191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147"/>
      <c r="S28" s="3"/>
      <c r="T28" s="3"/>
      <c r="U28" s="3"/>
      <c r="V28" s="3"/>
    </row>
    <row r="29" spans="1:22" ht="18" customHeight="1" thickBot="1" x14ac:dyDescent="0.4">
      <c r="A29" s="1"/>
      <c r="B29" s="4" t="s">
        <v>192</v>
      </c>
      <c r="C29" s="150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147"/>
      <c r="S29" s="3"/>
      <c r="T29" s="3"/>
      <c r="U29" s="3"/>
      <c r="V29" s="3"/>
    </row>
    <row r="30" spans="1:22" ht="16.5" customHeight="1" thickBot="1" x14ac:dyDescent="0.4">
      <c r="A30" s="1"/>
      <c r="B30" s="4" t="s">
        <v>80</v>
      </c>
      <c r="C30" s="150"/>
      <c r="D30" s="3"/>
      <c r="E30" s="4" t="s">
        <v>193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147"/>
      <c r="S30" s="3"/>
      <c r="T30" s="3"/>
      <c r="U30" s="3"/>
      <c r="V30" s="3"/>
    </row>
    <row r="31" spans="1:22" ht="15" thickBot="1" x14ac:dyDescent="0.4">
      <c r="A31" s="1"/>
      <c r="B31" s="3" t="s">
        <v>248</v>
      </c>
      <c r="C31" s="150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148"/>
      <c r="S31" s="3"/>
      <c r="T31" s="3"/>
      <c r="U31" s="3"/>
      <c r="V31" s="3"/>
    </row>
    <row r="32" spans="1:22" ht="18" customHeight="1" thickBot="1" x14ac:dyDescent="0.4">
      <c r="A32" s="1"/>
      <c r="B32" s="4" t="s">
        <v>194</v>
      </c>
      <c r="C32" s="151"/>
      <c r="D32" s="3"/>
      <c r="E32" s="4" t="s">
        <v>193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82" t="s">
        <v>195</v>
      </c>
      <c r="S32" s="3"/>
      <c r="T32" s="3"/>
      <c r="U32" s="3"/>
      <c r="V32" s="3"/>
    </row>
    <row r="33" spans="1:23" ht="32.25" customHeight="1" thickBot="1" x14ac:dyDescent="0.4">
      <c r="A33" s="1"/>
      <c r="B33" s="4" t="s">
        <v>196</v>
      </c>
      <c r="C33" s="4" t="s">
        <v>197</v>
      </c>
      <c r="D33" s="3"/>
      <c r="E33" s="4" t="s">
        <v>158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3" ht="18" customHeight="1" thickBot="1" x14ac:dyDescent="0.4">
      <c r="A34" s="1"/>
      <c r="B34" s="4" t="s">
        <v>103</v>
      </c>
      <c r="C34" s="4" t="s">
        <v>198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3" ht="15" thickBot="1" x14ac:dyDescent="0.4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spans="1:23" ht="15" thickBot="1" x14ac:dyDescent="0.4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</row>
    <row r="37" spans="1:23" ht="15" thickBot="1" x14ac:dyDescent="0.4">
      <c r="A37" s="143" t="s">
        <v>199</v>
      </c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5"/>
      <c r="W37" t="s">
        <v>245</v>
      </c>
    </row>
    <row r="38" spans="1:23" ht="16.5" customHeight="1" thickBot="1" x14ac:dyDescent="0.4">
      <c r="A38" s="26"/>
      <c r="B38" s="18" t="s">
        <v>80</v>
      </c>
      <c r="C38" s="26"/>
      <c r="D38" s="18" t="s">
        <v>244</v>
      </c>
      <c r="E38" s="26">
        <v>2024</v>
      </c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 spans="1:23" ht="15" thickBot="1" x14ac:dyDescent="0.4">
      <c r="A39" s="26"/>
      <c r="B39" s="18" t="s">
        <v>200</v>
      </c>
      <c r="C39" s="26"/>
      <c r="D39" s="18" t="s">
        <v>244</v>
      </c>
      <c r="E39" s="26">
        <v>2025</v>
      </c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</sheetData>
  <mergeCells count="5">
    <mergeCell ref="A1:V1"/>
    <mergeCell ref="A26:V26"/>
    <mergeCell ref="R27:R31"/>
    <mergeCell ref="C28:C32"/>
    <mergeCell ref="A37:V37"/>
  </mergeCells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F57DC-5562-4DD5-B890-A4C6EB468B3E}">
  <dimension ref="A1:S29"/>
  <sheetViews>
    <sheetView workbookViewId="0">
      <selection activeCell="R23" sqref="R23"/>
    </sheetView>
  </sheetViews>
  <sheetFormatPr baseColWidth="10" defaultRowHeight="14.5" x14ac:dyDescent="0.35"/>
  <cols>
    <col min="2" max="2" width="14.1796875" customWidth="1"/>
    <col min="3" max="3" width="17.81640625" customWidth="1"/>
    <col min="4" max="4" width="32" customWidth="1"/>
    <col min="16" max="16" width="31.7265625" customWidth="1"/>
  </cols>
  <sheetData>
    <row r="1" spans="1:19" ht="25" thickBot="1" x14ac:dyDescent="0.4">
      <c r="A1" s="83" t="s">
        <v>54</v>
      </c>
      <c r="B1" s="84" t="s">
        <v>58</v>
      </c>
      <c r="C1" s="84" t="s">
        <v>206</v>
      </c>
      <c r="D1" s="84" t="s">
        <v>56</v>
      </c>
      <c r="E1" s="84" t="s">
        <v>207</v>
      </c>
      <c r="F1" s="84" t="s">
        <v>60</v>
      </c>
      <c r="G1" s="84" t="s">
        <v>63</v>
      </c>
      <c r="H1" s="84" t="s">
        <v>168</v>
      </c>
      <c r="I1" s="84" t="s">
        <v>64</v>
      </c>
      <c r="J1" s="84" t="s">
        <v>65</v>
      </c>
      <c r="K1" s="84" t="s">
        <v>66</v>
      </c>
      <c r="L1" s="84" t="s">
        <v>67</v>
      </c>
      <c r="M1" s="84" t="s">
        <v>68</v>
      </c>
      <c r="N1" s="84" t="s">
        <v>70</v>
      </c>
      <c r="O1" s="84" t="s">
        <v>71</v>
      </c>
      <c r="P1" s="84" t="s">
        <v>169</v>
      </c>
      <c r="Q1" s="84" t="s">
        <v>74</v>
      </c>
      <c r="R1" s="85" t="s">
        <v>170</v>
      </c>
      <c r="S1" s="85" t="s">
        <v>171</v>
      </c>
    </row>
    <row r="2" spans="1:19" ht="31.5" customHeight="1" thickBot="1" x14ac:dyDescent="0.4">
      <c r="A2" s="2">
        <v>1</v>
      </c>
      <c r="B2" s="86" t="s">
        <v>208</v>
      </c>
      <c r="C2" s="4" t="s">
        <v>209</v>
      </c>
      <c r="D2" s="4" t="s">
        <v>210</v>
      </c>
      <c r="E2" s="3"/>
      <c r="F2" s="3"/>
      <c r="G2" s="3"/>
      <c r="H2" s="3"/>
      <c r="I2" s="87">
        <v>46070</v>
      </c>
      <c r="J2" s="88">
        <v>46250</v>
      </c>
      <c r="K2" s="3"/>
      <c r="L2" s="3"/>
      <c r="M2" s="3"/>
      <c r="N2" s="3"/>
      <c r="O2" s="3"/>
      <c r="P2" s="89">
        <v>30000000</v>
      </c>
      <c r="Q2" s="3"/>
      <c r="R2" s="3"/>
      <c r="S2" s="3"/>
    </row>
    <row r="3" spans="1:19" ht="27.75" customHeight="1" thickBot="1" x14ac:dyDescent="0.4">
      <c r="A3" s="2">
        <v>2</v>
      </c>
      <c r="B3" s="86" t="s">
        <v>211</v>
      </c>
      <c r="C3" s="4" t="s">
        <v>212</v>
      </c>
      <c r="D3" s="4" t="s">
        <v>213</v>
      </c>
      <c r="E3" s="3"/>
      <c r="F3" s="3"/>
      <c r="G3" s="3"/>
      <c r="H3" s="3"/>
      <c r="I3" s="87">
        <v>46071</v>
      </c>
      <c r="J3" s="88">
        <v>46251</v>
      </c>
      <c r="K3" s="3"/>
      <c r="L3" s="3"/>
      <c r="M3" s="3"/>
      <c r="N3" s="3"/>
      <c r="O3" s="3"/>
      <c r="P3" s="89">
        <v>30000000</v>
      </c>
      <c r="Q3" s="3"/>
      <c r="R3" s="3"/>
      <c r="S3" s="3"/>
    </row>
    <row r="4" spans="1:19" ht="31.5" customHeight="1" thickBot="1" x14ac:dyDescent="0.4">
      <c r="A4" s="2">
        <v>3</v>
      </c>
      <c r="B4" s="86" t="s">
        <v>214</v>
      </c>
      <c r="C4" s="4" t="s">
        <v>215</v>
      </c>
      <c r="D4" s="4" t="s">
        <v>216</v>
      </c>
      <c r="E4" s="3"/>
      <c r="F4" s="3"/>
      <c r="G4" s="3"/>
      <c r="H4" s="3"/>
      <c r="I4" s="68"/>
      <c r="J4" s="3"/>
      <c r="K4" s="3"/>
      <c r="L4" s="3"/>
      <c r="M4" s="3"/>
      <c r="N4" s="3"/>
      <c r="O4" s="3"/>
      <c r="P4" s="89">
        <v>30000000</v>
      </c>
      <c r="Q4" s="3"/>
      <c r="R4" s="3"/>
      <c r="S4" s="3"/>
    </row>
    <row r="5" spans="1:19" ht="18.75" customHeight="1" thickBot="1" x14ac:dyDescent="0.4">
      <c r="A5" s="2">
        <v>4</v>
      </c>
      <c r="B5" s="86" t="s">
        <v>217</v>
      </c>
      <c r="C5" s="4" t="s">
        <v>218</v>
      </c>
      <c r="D5" s="4" t="s">
        <v>219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89">
        <v>30000000</v>
      </c>
      <c r="Q5" s="3"/>
      <c r="R5" s="3"/>
      <c r="S5" s="3"/>
    </row>
    <row r="6" spans="1:19" ht="30" customHeight="1" thickBot="1" x14ac:dyDescent="0.4">
      <c r="A6" s="97">
        <v>5</v>
      </c>
      <c r="B6" s="98" t="s">
        <v>220</v>
      </c>
      <c r="C6" s="99" t="s">
        <v>221</v>
      </c>
      <c r="D6" s="99" t="s">
        <v>222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89">
        <v>30000000</v>
      </c>
      <c r="Q6" s="3"/>
      <c r="R6" s="3"/>
      <c r="S6" s="3"/>
    </row>
    <row r="7" spans="1:19" ht="30" customHeight="1" x14ac:dyDescent="0.35">
      <c r="A7" s="101">
        <v>6</v>
      </c>
      <c r="B7" s="102" t="s">
        <v>223</v>
      </c>
      <c r="C7" s="103" t="s">
        <v>224</v>
      </c>
      <c r="D7" s="103" t="s">
        <v>225</v>
      </c>
      <c r="E7" s="104"/>
      <c r="F7" s="104"/>
      <c r="G7" s="104"/>
      <c r="H7" s="104"/>
      <c r="I7" s="105">
        <v>46071</v>
      </c>
      <c r="J7" s="106">
        <v>46251</v>
      </c>
      <c r="K7" s="104"/>
      <c r="L7" s="104"/>
      <c r="M7" s="104"/>
      <c r="N7" s="104"/>
      <c r="O7" s="104"/>
      <c r="P7" s="116">
        <v>30000000</v>
      </c>
      <c r="Q7" s="110"/>
      <c r="R7" s="111"/>
      <c r="S7" s="111"/>
    </row>
    <row r="8" spans="1:19" ht="30" customHeight="1" x14ac:dyDescent="0.35">
      <c r="A8" s="92"/>
      <c r="B8" s="93"/>
      <c r="C8" s="92"/>
      <c r="D8" s="92"/>
      <c r="E8" s="94"/>
      <c r="F8" s="94"/>
      <c r="G8" s="94"/>
      <c r="H8" s="94"/>
      <c r="I8" s="95"/>
      <c r="J8" s="96"/>
      <c r="K8" s="94"/>
      <c r="L8" s="94"/>
      <c r="M8" s="94"/>
      <c r="N8" s="94"/>
      <c r="O8" s="94"/>
      <c r="P8" s="109"/>
      <c r="Q8" s="94"/>
      <c r="R8" s="94"/>
      <c r="S8" s="94"/>
    </row>
    <row r="9" spans="1:19" ht="30" customHeight="1" x14ac:dyDescent="0.35">
      <c r="A9" s="92"/>
      <c r="B9" s="93"/>
      <c r="C9" s="92"/>
      <c r="D9" s="92"/>
      <c r="E9" s="94"/>
      <c r="F9" s="94"/>
      <c r="G9" s="94"/>
      <c r="H9" s="94"/>
      <c r="I9" s="95"/>
      <c r="J9" s="96"/>
      <c r="K9" s="94"/>
      <c r="L9" s="94"/>
      <c r="M9" s="94"/>
      <c r="N9" s="94"/>
      <c r="O9" s="94"/>
      <c r="P9" s="109"/>
      <c r="Q9" s="94"/>
      <c r="R9" s="94"/>
      <c r="S9" s="94"/>
    </row>
    <row r="10" spans="1:19" x14ac:dyDescent="0.35">
      <c r="A10" s="9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Q10" s="94"/>
      <c r="R10" s="94"/>
      <c r="S10" s="94"/>
    </row>
    <row r="11" spans="1:19" ht="29.5" thickBot="1" x14ac:dyDescent="0.4">
      <c r="A11" s="91"/>
      <c r="B11" s="112" t="s">
        <v>226</v>
      </c>
      <c r="C11" s="113" t="s">
        <v>227</v>
      </c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5">
        <v>30000000</v>
      </c>
      <c r="Q11" s="114"/>
      <c r="R11" s="114"/>
      <c r="S11" s="114"/>
    </row>
    <row r="12" spans="1:19" ht="29.5" thickBot="1" x14ac:dyDescent="0.4">
      <c r="A12" s="1"/>
      <c r="B12" s="4" t="s">
        <v>226</v>
      </c>
      <c r="C12" s="4" t="s">
        <v>228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89">
        <v>30000000</v>
      </c>
      <c r="Q12" s="3"/>
      <c r="R12" s="3"/>
      <c r="S12" s="3"/>
    </row>
    <row r="13" spans="1:19" ht="15" thickBot="1" x14ac:dyDescent="0.4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89"/>
      <c r="Q13" s="68"/>
      <c r="R13" s="68"/>
      <c r="S13" s="26"/>
    </row>
    <row r="14" spans="1:19" ht="15" thickBot="1" x14ac:dyDescent="0.4">
      <c r="A14" s="1"/>
      <c r="B14" s="4" t="s">
        <v>185</v>
      </c>
      <c r="C14" s="4" t="s">
        <v>229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89">
        <v>30000000</v>
      </c>
      <c r="Q14" s="3"/>
      <c r="R14" s="3"/>
      <c r="S14" s="68"/>
    </row>
    <row r="15" spans="1:19" ht="15" thickBot="1" x14ac:dyDescent="0.4">
      <c r="A15" s="1"/>
      <c r="B15" s="152" t="s">
        <v>185</v>
      </c>
      <c r="C15" s="4" t="s">
        <v>230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89">
        <v>30000000</v>
      </c>
      <c r="Q15" s="3"/>
      <c r="R15" s="3"/>
      <c r="S15" s="3"/>
    </row>
    <row r="16" spans="1:19" ht="15" thickBot="1" x14ac:dyDescent="0.4">
      <c r="A16" s="1"/>
      <c r="B16" s="153"/>
      <c r="C16" s="4" t="s">
        <v>231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89">
        <v>30000000</v>
      </c>
      <c r="Q16" s="3"/>
      <c r="R16" s="3"/>
      <c r="S16" s="3"/>
    </row>
    <row r="17" spans="1:19" ht="15" thickBot="1" x14ac:dyDescent="0.4">
      <c r="A17" s="1"/>
      <c r="B17" s="153"/>
      <c r="C17" s="4" t="s">
        <v>232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89">
        <v>30000000</v>
      </c>
      <c r="Q17" s="3"/>
      <c r="R17" s="3"/>
      <c r="S17" s="3"/>
    </row>
    <row r="18" spans="1:19" ht="15" thickBot="1" x14ac:dyDescent="0.4">
      <c r="A18" s="1"/>
      <c r="B18" s="154"/>
      <c r="C18" s="4" t="s">
        <v>233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07">
        <v>30000000</v>
      </c>
      <c r="Q18" s="3"/>
      <c r="R18" s="3"/>
      <c r="S18" s="3"/>
    </row>
    <row r="19" spans="1:19" ht="15" thickBot="1" x14ac:dyDescent="0.4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117"/>
      <c r="P19" s="108">
        <f>SUM(P2:P18)</f>
        <v>390000000</v>
      </c>
      <c r="Q19" s="118"/>
      <c r="R19" s="26"/>
      <c r="S19" s="26"/>
    </row>
    <row r="20" spans="1:19" ht="15" thickBot="1" x14ac:dyDescent="0.4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119"/>
      <c r="Q20" s="26"/>
      <c r="R20" s="26"/>
      <c r="S20" s="26"/>
    </row>
    <row r="21" spans="1:19" ht="15" thickBot="1" x14ac:dyDescent="0.4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</row>
    <row r="22" spans="1:19" ht="15" thickBot="1" x14ac:dyDescent="0.4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</row>
    <row r="23" spans="1:19" ht="15" thickBot="1" x14ac:dyDescent="0.4">
      <c r="A23" s="26"/>
      <c r="B23" s="18" t="s">
        <v>127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</row>
    <row r="24" spans="1:19" ht="29.5" thickBot="1" x14ac:dyDescent="0.4">
      <c r="A24" s="26"/>
      <c r="B24" s="18" t="s">
        <v>234</v>
      </c>
      <c r="C24" s="18" t="s">
        <v>235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</row>
    <row r="25" spans="1:19" ht="15" thickBot="1" x14ac:dyDescent="0.4">
      <c r="A25" s="26"/>
      <c r="B25" s="68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</row>
    <row r="26" spans="1:19" ht="15" thickBot="1" x14ac:dyDescent="0.4">
      <c r="A26" s="90"/>
      <c r="B26" s="4" t="s">
        <v>236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</row>
    <row r="27" spans="1:19" ht="15" thickBot="1" x14ac:dyDescent="0.4">
      <c r="A27" s="90"/>
      <c r="B27" s="4" t="s">
        <v>237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</row>
    <row r="28" spans="1:19" ht="15" thickBot="1" x14ac:dyDescent="0.4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</row>
    <row r="29" spans="1:19" ht="15" thickBot="1" x14ac:dyDescent="0.4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</row>
  </sheetData>
  <mergeCells count="1">
    <mergeCell ref="B15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2024</vt:lpstr>
      <vt:lpstr>2025</vt:lpstr>
      <vt:lpstr>2026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SEC.PARTICIPACION</dc:creator>
  <cp:lastModifiedBy>Yeison Dariel Zapata Monsalve</cp:lastModifiedBy>
  <dcterms:created xsi:type="dcterms:W3CDTF">2026-03-25T15:19:27Z</dcterms:created>
  <dcterms:modified xsi:type="dcterms:W3CDTF">2026-05-11T16:37:34Z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2026-05-11T16:29:21Z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3ec774ab-2ae7-48c0-a7cf-19afcc3fbba8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